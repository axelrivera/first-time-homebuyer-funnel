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PITI Build-Up" sheetId="3" state="visible" r:id="rId5"/>
    <sheet name="Loan Scenarios" sheetId="4" state="visible" r:id="rId6"/>
    <sheet name="Cash to Close" sheetId="5" state="visible" r:id="rId7"/>
    <sheet name="Reserves After Close" sheetId="6" state="visible" r:id="rId8"/>
    <sheet name="Shortlist Math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BSS Template</author>
  </authors>
  <commentList>
    <comment ref="B19" authorId="0">
      <text>
        <r>
          <rPr>
            <sz val="10"/>
            <rFont val="Arial"/>
            <family val="2"/>
          </rPr>
          <t xml:space="preserve">2026 default 0.55%. Verify against HUD handbook 4000.1 before each call.</t>
        </r>
      </text>
    </comment>
    <comment ref="B21" authorId="0">
      <text>
        <r>
          <rPr>
            <sz val="10"/>
            <rFont val="Arial"/>
            <family val="2"/>
          </rPr>
          <t xml:space="preserve">Default 0.6% for 680-739 / 95% LTV. Range 0.5% to 1.5% by credit and LTV. Replace with real lender quote before promising a number.</t>
        </r>
      </text>
    </comment>
    <comment ref="B24" authorId="0">
      <text>
        <r>
          <rPr>
            <sz val="10"/>
            <rFont val="Arial"/>
            <family val="2"/>
          </rPr>
          <t xml:space="preserve">~14.5 mills. Higher inside city limits (Sanford, Lake Mary). Check Aug/Sep after county budget.</t>
        </r>
      </text>
    </comment>
    <comment ref="B25" authorId="0">
      <text>
        <r>
          <rPr>
            <sz val="10"/>
            <rFont val="Arial"/>
            <family val="2"/>
          </rPr>
          <t xml:space="preserve">~13.5 mills. Downtown Orlando city add-on. Check Aug/Sep after county budget.</t>
        </r>
      </text>
    </comment>
    <comment ref="B26" authorId="0">
      <text>
        <r>
          <rPr>
            <sz val="10"/>
            <rFont val="Arial"/>
            <family val="2"/>
          </rPr>
          <t xml:space="preserve">SFH 2000s+ inland: $2,800-$3,800. SFH 1980s or older: $3,800-$5,500. Townhome HO6: $1,200-$2,000. Condo HO6: $900-$1,400. Add flood ($700-$2,500) for AE/VE zones.</t>
        </r>
      </text>
    </comment>
    <comment ref="B32" authorId="0">
      <text>
        <r>
          <rPr>
            <sz val="10"/>
            <rFont val="Arial"/>
            <family val="2"/>
          </rPr>
          <t xml:space="preserve">Post-NAR-settlement: BAC may be paid by seller, buyer, or split. Default $0 here assumes seller-paid. Override per deal once buyer-broker agreement is signed.</t>
        </r>
      </text>
    </comment>
    <comment ref="B33" authorId="0">
      <text>
        <r>
          <rPr>
            <sz val="10"/>
            <rFont val="Arial"/>
            <family val="2"/>
          </rPr>
          <t xml:space="preserve">Per-prospect estimate. Drives 'months to save the gap' on Shortlist Math tab.</t>
        </r>
      </text>
    </comment>
  </commentList>
</comments>
</file>

<file path=xl/sharedStrings.xml><?xml version="1.0" encoding="utf-8"?>
<sst xmlns="http://schemas.openxmlformats.org/spreadsheetml/2006/main" count="235" uniqueCount="220">
  <si>
    <t xml:space="preserve">BSS Math Sheet — Starter Template</t>
  </si>
  <si>
    <t xml:space="preserve">Purpose</t>
  </si>
  <si>
    <t xml:space="preserve">Live Math + 3-Neighborhood Shortlist for the Orlando First-Time Buyer Buyer Strategy Session. Duplicate this workbook once per prospect at booking time, then drive it from the Inputs tab live during the call.</t>
  </si>
  <si>
    <t xml:space="preserve">Tabs (in run order)</t>
  </si>
  <si>
    <t xml:space="preserve">  1. Inputs — All agent-typed values. Yellow cells = type here. Cells B2-B14 follow the spec exactly.</t>
  </si>
  <si>
    <t xml:space="preserve">  2. PITI Build-Up — Property tax (new-owner basis with homestead), HO3 insurance, HOA. Source of truth for tax/ins.</t>
  </si>
  <si>
    <t xml:space="preserve">  3. Loan Scenarios — Three loan paths side by side: FHA 3.5%, Conv 5%, Conv 20%. P&amp;I, MI on its own line, total PITI, DTI.</t>
  </si>
  <si>
    <t xml:space="preserve">  4. Cash to Close — Down + line-item closing costs + BAC row (editable, default $0 = seller-paid).</t>
  </si>
  <si>
    <t xml:space="preserve">  5. Reserves After Close — Reserves $ and months. Yellow/red flags for both reserves and back-end DTI.</t>
  </si>
  <si>
    <t xml:space="preserve">  6. Shortlist Math — 3 ZIP comparison (plus optional 4th). One scenario applied across all ZIPs; toggle in cell D3.</t>
  </si>
  <si>
    <t xml:space="preserve">Color conventions</t>
  </si>
  <si>
    <t xml:space="preserve">  • Blue text on yellow fill = INPUT cells (type here).</t>
  </si>
  <si>
    <t xml:space="preserve">  • Black text = formulas computed within the sheet.</t>
  </si>
  <si>
    <t xml:space="preserve">  • Green text = cross-sheet links (pulled from another tab).</t>
  </si>
  <si>
    <t xml:space="preserve">  • Dark-green fill on white text = key results for the call (total monthly PITI, total cash to close, reserves).</t>
  </si>
  <si>
    <t xml:space="preserve">Hard rules baked in</t>
  </si>
  <si>
    <t xml:space="preserve">  • MI is always shown on its own line. Never bundle into P&amp;I in any deliverable.</t>
  </si>
  <si>
    <t xml:space="preserve">  • Property tax uses the NEW-OWNER assessed value (= purchase price), not the seller's prior bill. Save-Our-Homes resets on sale.</t>
  </si>
  <si>
    <t xml:space="preserve">  • Numbers come from the Inputs tab — every calibration value (rates, millage, insurance, MI %, closing costs) has a comment pointing to its source. Verify before each call.</t>
  </si>
  <si>
    <t xml:space="preserve">  • The shortlist is never blank and never says 'you cannot afford this.' It always shows the path.</t>
  </si>
  <si>
    <t xml:space="preserve">How to use this template per prospect</t>
  </si>
  <si>
    <t xml:space="preserve">  1. Duplicate the workbook (Google Drive: right-click → Make a copy. Excel: File → Save As.) and name it 'BSS — {FirstName} {YYYY-MM-DD}.xlsx'.</t>
  </si>
  <si>
    <t xml:space="preserve">  2. Fill in Inputs!B2-B14 from the LM1 intake and pre-call email. The Maria values shown are placeholders — overwrite all of them.</t>
  </si>
  <si>
    <t xml:space="preserve">  3. Verify calibration rows (Inputs!B17-B37) are current. Rate (B13) is the day-of number from the 3-lender card.</t>
  </si>
  <si>
    <t xml:space="preserve">  4. On the call: share the screen. Speak from Loan Scenarios row 16 (total monthly) and Reserves After Close rows 6+8.</t>
  </si>
  <si>
    <t xml:space="preserve">  5. On Shortlist Math: type in 3 ZIPs (county + median price + HOA). The math fills in. Show the gap row, not the absolute payment alone.</t>
  </si>
  <si>
    <t xml:space="preserve">  6. After the call: send the prospect the live link to this sheet (rule #4 in the spec — every call gets the link).</t>
  </si>
  <si>
    <t xml:space="preserve">Source spec</t>
  </si>
  <si>
    <t xml:space="preserve">  docs/12-bss-math-and-shortlist.md   — what this sheet implements.</t>
  </si>
  <si>
    <t xml:space="preserve">  docs/09-bss-offer-spec.md           — the BSS offer, run-of-show.</t>
  </si>
  <si>
    <t xml:space="preserve">  CLAUDE.md                            — funnel-wide hard rules and market context.</t>
  </si>
  <si>
    <t xml:space="preserve">BSS Math Sheet — Inputs</t>
  </si>
  <si>
    <t xml:space="preserve">Type into the yellow cells. Everything downstream recalculates automatically.</t>
  </si>
  <si>
    <t xml:space="preserve">First name</t>
  </si>
  <si>
    <t xml:space="preserve">Maria</t>
  </si>
  <si>
    <t xml:space="preserve">  Per LM1 intake.</t>
  </si>
  <si>
    <t xml:space="preserve">Co-buyer?</t>
  </si>
  <si>
    <t xml:space="preserve">No</t>
  </si>
  <si>
    <t xml:space="preserve">  'Yes' or 'No'. If yes, combine incomes/debts in rows 4-5.</t>
  </si>
  <si>
    <t xml:space="preserve">Combined gross income, monthly</t>
  </si>
  <si>
    <t xml:space="preserve">  Both buyers combined. Gross (pre-tax).</t>
  </si>
  <si>
    <t xml:space="preserve">Existing monthly debts (cars, students, minimums)</t>
  </si>
  <si>
    <t xml:space="preserve">  Anything that hits a credit report each month.</t>
  </si>
  <si>
    <t xml:space="preserve">Credit band (per LM1 Q1)</t>
  </si>
  <si>
    <t xml:space="preserve">680-739</t>
  </si>
  <si>
    <t xml:space="preserve">  740+, 680-739, 620-679, &lt;620, unknown.</t>
  </si>
  <si>
    <t xml:space="preserve">Cash available for the deal</t>
  </si>
  <si>
    <t xml:space="preserve">  Total liquid cash earmarked for this purchase.</t>
  </si>
  <si>
    <t xml:space="preserve">Target purchase price (starting guess)</t>
  </si>
  <si>
    <t xml:space="preserve">  Adjust live during the call as the math evolves.</t>
  </si>
  <si>
    <t xml:space="preserve">Term (years)</t>
  </si>
  <si>
    <t xml:space="preserve">  Almost always 30. 15 only if prospect raises it.</t>
  </si>
  <si>
    <t xml:space="preserve">Property type</t>
  </si>
  <si>
    <t xml:space="preserve">SFH (2000s or newer)</t>
  </si>
  <si>
    <t xml:space="preserve">  SFH (newer), SFH (older), Townhome, Condo. Drives insurance band.</t>
  </si>
  <si>
    <t xml:space="preserve">County</t>
  </si>
  <si>
    <t xml:space="preserve">Seminole</t>
  </si>
  <si>
    <t xml:space="preserve">  'Seminole' or 'Orange'. Drives millage rate.</t>
  </si>
  <si>
    <t xml:space="preserve">Estimated HOA, monthly</t>
  </si>
  <si>
    <t xml:space="preserve">  $0 for most SFH; enter representative value the prospect can override.</t>
  </si>
  <si>
    <t xml:space="preserve">Expected rate today</t>
  </si>
  <si>
    <t xml:space="preserve">  Today's quote from the 3-lender card. Refresh day of call.</t>
  </si>
  <si>
    <t xml:space="preserve">Neighborhoods prospect named (free text)</t>
  </si>
  <si>
    <t xml:space="preserve">Sanford, maybe Lake Mary</t>
  </si>
  <si>
    <t xml:space="preserve">  Drives Shortlist Math tab (Path A / B / C decision).</t>
  </si>
  <si>
    <t xml:space="preserve">CALIBRATION &amp; ASSUMPTIONS — update from current sources quarterly</t>
  </si>
  <si>
    <t xml:space="preserve">FHA down payment %</t>
  </si>
  <si>
    <t xml:space="preserve">  Statutory FHA minimum.</t>
  </si>
  <si>
    <t xml:space="preserve">FHA upfront MIP % (financed into loan)</t>
  </si>
  <si>
    <t xml:space="preserve">  Verify against HUD handbook 4000.1 before each call.</t>
  </si>
  <si>
    <t xml:space="preserve">FHA annual MIP %</t>
  </si>
  <si>
    <t xml:space="preserve">  Verify against HUD handbook 4000.1.</t>
  </si>
  <si>
    <t xml:space="preserve">Conventional low-down %</t>
  </si>
  <si>
    <t xml:space="preserve">  Conv 95% LTV. Switch to 0.03 for HomeReady/Home Possible if relevant.</t>
  </si>
  <si>
    <t xml:space="preserve">Conventional PMI % (annual, of loan)</t>
  </si>
  <si>
    <t xml:space="preserve">  Calibrate to credit band. Replace with real lender quote.</t>
  </si>
  <si>
    <t xml:space="preserve">Conventional full-down %</t>
  </si>
  <si>
    <t xml:space="preserve">  20% = no PMI.</t>
  </si>
  <si>
    <t xml:space="preserve">Florida homestead exemption ($)</t>
  </si>
  <si>
    <t xml:space="preserve">  Primary residence only.</t>
  </si>
  <si>
    <t xml:space="preserve">Seminole County millage (effective)</t>
  </si>
  <si>
    <t xml:space="preserve">  Higher inside city limits.</t>
  </si>
  <si>
    <t xml:space="preserve">Orange County millage (effective)</t>
  </si>
  <si>
    <t xml:space="preserve">  Downtown Orlando city add-on.</t>
  </si>
  <si>
    <t xml:space="preserve">Annual HO3 insurance estimate ($)</t>
  </si>
  <si>
    <t xml:space="preserve">  Refresh quarterly with broker. Add flood if AE/VE zone.</t>
  </si>
  <si>
    <t xml:space="preserve">Closing — lender fees (origination, underwriting, processing)</t>
  </si>
  <si>
    <t xml:space="preserve">  Range $1,500-$2,500. Negotiable.</t>
  </si>
  <si>
    <t xml:space="preserve">Closing — title (owner + lender policy + settlement)</t>
  </si>
  <si>
    <t xml:space="preserve">  Range $2,000-$3,500.</t>
  </si>
  <si>
    <t xml:space="preserve">Closing — recording + doc stamps + intangible tax (FL)</t>
  </si>
  <si>
    <t xml:space="preserve">  Florida-specific. Not negotiable.</t>
  </si>
  <si>
    <t xml:space="preserve">Closing — prepaids (insurance, tax escrow, prepaid interest)</t>
  </si>
  <si>
    <t xml:space="preserve">  Range $1,500-$3,000.</t>
  </si>
  <si>
    <t xml:space="preserve">Closing — inspection + appraisal</t>
  </si>
  <si>
    <t xml:space="preserve">  Often paid pre-close, sometimes after deposit.</t>
  </si>
  <si>
    <t xml:space="preserve">Buyer agent compensation (BAC) — buyer-paid portion</t>
  </si>
  <si>
    <t xml:space="preserve">  Default $0 = seller-paid. Override per deal.</t>
  </si>
  <si>
    <t xml:space="preserve">Monthly savings capacity (for Shortlist gap calc)</t>
  </si>
  <si>
    <t xml:space="preserve">  Per-prospect. Powers 'months of saving' on Shortlist tab.</t>
  </si>
  <si>
    <t xml:space="preserve">Reserves YELLOW flag (months of housing)</t>
  </si>
  <si>
    <t xml:space="preserve">  Under 1 month = yellow flag.</t>
  </si>
  <si>
    <t xml:space="preserve">Reserves RED flag (months of housing)</t>
  </si>
  <si>
    <t xml:space="preserve">  Under 0.5 month = red flag.</t>
  </si>
  <si>
    <t xml:space="preserve">Back-end DTI YELLOW threshold</t>
  </si>
  <si>
    <t xml:space="preserve">  Conv typically caps ~45%.</t>
  </si>
  <si>
    <t xml:space="preserve">Back-end DTI RED threshold</t>
  </si>
  <si>
    <t xml:space="preserve">  FHA may tolerate up to ~57% in some cases.</t>
  </si>
  <si>
    <t xml:space="preserve">PITI Build-Up</t>
  </si>
  <si>
    <t xml:space="preserve">Tax, insurance, HOA build — pulled by formula into Loan Scenarios.</t>
  </si>
  <si>
    <t xml:space="preserve">PROPERTY TAX (Florida, new-owner basis)</t>
  </si>
  <si>
    <t xml:space="preserve">Purchase price</t>
  </si>
  <si>
    <t xml:space="preserve">  Pulled from Inputs!B8.</t>
  </si>
  <si>
    <t xml:space="preserve">  Pulled from Inputs!B11.</t>
  </si>
  <si>
    <t xml:space="preserve">Homestead exemption</t>
  </si>
  <si>
    <t xml:space="preserve">  Pulled from Inputs!B23.</t>
  </si>
  <si>
    <t xml:space="preserve">Year-1 assessed value (= purchase price; Save-Our-Homes resets on sale)</t>
  </si>
  <si>
    <t xml:space="preserve">  Quote the new-owner number, NOT the seller's last tax bill.</t>
  </si>
  <si>
    <t xml:space="preserve">Millage rate applied</t>
  </si>
  <si>
    <t xml:space="preserve">  Auto-pick by county. Defaults to 0 if county not recognized.</t>
  </si>
  <si>
    <t xml:space="preserve">Annual property tax (new-owner)</t>
  </si>
  <si>
    <t xml:space="preserve">  = MAX(0, assessed - homestead) * millage.</t>
  </si>
  <si>
    <t xml:space="preserve">Monthly property tax</t>
  </si>
  <si>
    <t xml:space="preserve">  Used by Loan Scenarios.</t>
  </si>
  <si>
    <t xml:space="preserve">HOMEOWNERS INSURANCE (FL HO3 / HO6)</t>
  </si>
  <si>
    <t xml:space="preserve">Annual HO3/HO6 estimate</t>
  </si>
  <si>
    <t xml:space="preserve">  Pulled from Inputs!B26. Refresh band per property profile.</t>
  </si>
  <si>
    <t xml:space="preserve">Monthly insurance</t>
  </si>
  <si>
    <t xml:space="preserve">HOA</t>
  </si>
  <si>
    <t xml:space="preserve">Monthly HOA</t>
  </si>
  <si>
    <t xml:space="preserve">  Pulled from Inputs!B12. Used by Loan Scenarios.</t>
  </si>
  <si>
    <t xml:space="preserve">Loan Scenarios</t>
  </si>
  <si>
    <t xml:space="preserve">Three loan paths side by side — same price, same rate, same prospect.</t>
  </si>
  <si>
    <t xml:space="preserve">Line item</t>
  </si>
  <si>
    <t xml:space="preserve">FHA 3.5% down</t>
  </si>
  <si>
    <t xml:space="preserve">Conventional 5% down</t>
  </si>
  <si>
    <t xml:space="preserve">Conventional 20% down</t>
  </si>
  <si>
    <t xml:space="preserve">Down payment %</t>
  </si>
  <si>
    <t xml:space="preserve">Down payment $</t>
  </si>
  <si>
    <t xml:space="preserve">Base loan amount (price - down)</t>
  </si>
  <si>
    <t xml:space="preserve">Upfront MIP financed into loan (FHA only)</t>
  </si>
  <si>
    <t xml:space="preserve">Total loan amount</t>
  </si>
  <si>
    <t xml:space="preserve">Term (months)</t>
  </si>
  <si>
    <t xml:space="preserve">Monthly interest rate (r = annual / 12)</t>
  </si>
  <si>
    <t xml:space="preserve">Monthly P&amp;I</t>
  </si>
  <si>
    <t xml:space="preserve">Monthly MI (PMI or MIP) — NEVER bundle into P&amp;I</t>
  </si>
  <si>
    <t xml:space="preserve">Monthly property tax (new-owner basis)</t>
  </si>
  <si>
    <t xml:space="preserve">Monthly HO3/HO6 insurance</t>
  </si>
  <si>
    <t xml:space="preserve">TOTAL MONTHLY PITI</t>
  </si>
  <si>
    <t xml:space="preserve">Front-end DTI (PITI / gross monthly)</t>
  </si>
  <si>
    <t xml:space="preserve">Back-end DTI ((PITI + debts) / gross monthly)</t>
  </si>
  <si>
    <t xml:space="preserve">Notes:</t>
  </si>
  <si>
    <t xml:space="preserve">  • Use the new-owner tax number, never the seller's last bill (Save-Our-Homes resets on sale).</t>
  </si>
  <si>
    <t xml:space="preserve">  • MI is shown on its own line by design — never bundle it into P&amp;I in any deliverable.</t>
  </si>
  <si>
    <t xml:space="preserve">  • Conv 20% rows show $0 MI because LTV is 80%. If you switch Conv 20% to a different %, MI auto-applies.</t>
  </si>
  <si>
    <t xml:space="preserve">Cash to Close</t>
  </si>
  <si>
    <t xml:space="preserve">What the prospect needs at closing — including the BAC line.</t>
  </si>
  <si>
    <t xml:space="preserve">FHA 3.5%</t>
  </si>
  <si>
    <t xml:space="preserve">Conv 5%</t>
  </si>
  <si>
    <t xml:space="preserve">Conv 20%</t>
  </si>
  <si>
    <t xml:space="preserve">Lender fees (origination, underwriting, processing)</t>
  </si>
  <si>
    <t xml:space="preserve">Title (owner + lender policy + settlement)</t>
  </si>
  <si>
    <t xml:space="preserve">Recording + doc stamps + intangible tax (FL)</t>
  </si>
  <si>
    <t xml:space="preserve">Prepaids (1st-yr insurance, tax escrow, prepaid interest)</t>
  </si>
  <si>
    <t xml:space="preserve">Inspection + appraisal</t>
  </si>
  <si>
    <t xml:space="preserve">Buyer agent compensation (buyer-paid portion)</t>
  </si>
  <si>
    <t xml:space="preserve">TOTAL CASH TO CLOSE</t>
  </si>
  <si>
    <t xml:space="preserve">  • Recording + doc stamps + intangible are NOT negotiable (Florida statute).</t>
  </si>
  <si>
    <t xml:space="preserve">  • Lender fees, title, and prepaids ARE negotiable — seller credit is the lever.</t>
  </si>
  <si>
    <t xml:space="preserve">  • BAC defaults to $0 = seller-paid. Set Inputs!B32 to the buyer-paid amount once the agreement is signed.</t>
  </si>
  <si>
    <t xml:space="preserve">Reserves After Close</t>
  </si>
  <si>
    <t xml:space="preserve">The single highest-impact number for a Tier A first-time buyer to see.</t>
  </si>
  <si>
    <t xml:space="preserve">Cash available</t>
  </si>
  <si>
    <t xml:space="preserve">Cash to close</t>
  </si>
  <si>
    <t xml:space="preserve">Reserves $ remaining</t>
  </si>
  <si>
    <t xml:space="preserve">Monthly housing payment (PITI)</t>
  </si>
  <si>
    <t xml:space="preserve">Reserves in MONTHS of housing</t>
  </si>
  <si>
    <t xml:space="preserve">Reserves flag</t>
  </si>
  <si>
    <t xml:space="preserve">DTI CHECK</t>
  </si>
  <si>
    <t xml:space="preserve">Front-end DTI (PITI / gross)</t>
  </si>
  <si>
    <t xml:space="preserve">Back-end DTI ((PITI + debts) / gross)</t>
  </si>
  <si>
    <t xml:space="preserve">Back-end DTI flag</t>
  </si>
  <si>
    <t xml:space="preserve">Reading this tab during the call:</t>
  </si>
  <si>
    <t xml:space="preserve">  • Lead with row 8 (months of reserves). It answers 'will I be house-poor?'</t>
  </si>
  <si>
    <t xml:space="preserve">  • Then row 13 (back-end DTI). If YELLOW or RED, the conversation shifts to lower price or longer prep timeline.</t>
  </si>
  <si>
    <t xml:space="preserve">  • A scenario showing RED on either row is fine — the value is in showing what changes the picture.</t>
  </si>
  <si>
    <t xml:space="preserve">Shortlist Math — 3-Neighborhood Comparison</t>
  </si>
  <si>
    <t xml:space="preserve">One scenario applied across ZIPs. Toggle below.</t>
  </si>
  <si>
    <t xml:space="preserve">Loan scenario for comparison:</t>
  </si>
  <si>
    <t xml:space="preserve">(1 = FHA 3.5%, 2 = Conv 5%, 3 = Conv 20%)</t>
  </si>
  <si>
    <t xml:space="preserve">Role</t>
  </si>
  <si>
    <t xml:space="preserve">Neighborhood / ZIP</t>
  </si>
  <si>
    <t xml:space="preserve">Median price</t>
  </si>
  <si>
    <t xml:space="preserve">HOA/mo</t>
  </si>
  <si>
    <t xml:space="preserve">Down $</t>
  </si>
  <si>
    <t xml:space="preserve">Total loan</t>
  </si>
  <si>
    <t xml:space="preserve">Monthly MI</t>
  </si>
  <si>
    <t xml:space="preserve">Monthly tax</t>
  </si>
  <si>
    <t xml:space="preserve">Monthly ins</t>
  </si>
  <si>
    <t xml:space="preserve">TOTAL MONTHLY</t>
  </si>
  <si>
    <t xml:space="preserve">Gap vs prospect $/mo</t>
  </si>
  <si>
    <t xml:space="preserve">Months to save gap</t>
  </si>
  <si>
    <t xml:space="preserve">PROSPECT</t>
  </si>
  <si>
    <t xml:space="preserve">ANCHOR</t>
  </si>
  <si>
    <t xml:space="preserve">Sanford 32771</t>
  </si>
  <si>
    <t xml:space="preserve">STRETCH</t>
  </si>
  <si>
    <t xml:space="preserve">Maitland 32751</t>
  </si>
  <si>
    <t xml:space="preserve">Orange</t>
  </si>
  <si>
    <t xml:space="preserve">WILDCARD</t>
  </si>
  <si>
    <t xml:space="preserve">Casselberry 32707</t>
  </si>
  <si>
    <t xml:space="preserve">OPTIONAL 4th</t>
  </si>
  <si>
    <t xml:space="preserve">(leave blank if not needed)</t>
  </si>
  <si>
    <t xml:space="preserve">SHORTLIST DECISION LOGIC — Path A / B / C</t>
  </si>
  <si>
    <t xml:space="preserve">Path A — prospect had no neighborhoods in mind</t>
  </si>
  <si>
    <t xml:space="preserve">  Agent picks: (1) Anchor — comfortable affordability, room for reserves.  (2) Stretch — costs more but unlocks something specific (commute, schools, walkability).  (3) Wildcard — they probably haven't considered it but it fits their numbers better than they'd guess.</t>
  </si>
  <si>
    <t xml:space="preserve">Path B — prospect named 1-2 ZIPs AND the math works</t>
  </si>
  <si>
    <t xml:space="preserve">  Row 7 = their first named ZIP (math validated live). Row 8 = their second, or an adjacent agent-recommended ZIP. Row 9 = one agent-picked alternate, introduced explicitly. Prospect's preference always leads in the deliverable PDF.</t>
  </si>
  <si>
    <t xml:space="preserve">Path C — prospect named ZIPs AND the math doesn't work</t>
  </si>
  <si>
    <t xml:space="preserve">  Row 7 = the named ZIP with the gap surfaced (NOT buried — show payment, reserves, DTI). Row 8 = the compromise inside the named ZIP (smaller home, older home, townhome instead of SFH, FHA instead of conv). Row 9 = the honest alternate — one ZIP outward, same product type, fits the math comfortably. The shortlist is never blank, and it never says 'you cannot afford this.'</t>
  </si>
  <si>
    <t xml:space="preserve">Hard rule: shortlist is 3 by default, 4 only in the cases listed in 12-bss-math-and-shortlist.md, NEVER 5.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</si>
</sst>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[RED]&quot;($&quot;#,##0\);\-"/>
    <numFmt numFmtId="166" formatCode="0.000%;[RED]\(0.000%\);\-"/>
    <numFmt numFmtId="167" formatCode="0.00%;[RED]\(0.00%\);\-"/>
    <numFmt numFmtId="168" formatCode="0.0&quot; mo&quot;"/>
    <numFmt numFmtId="169" formatCode="\$#,##0.00;[RED]&quot;($&quot;#,##0.00\);\-"/>
    <numFmt numFmtId="170" formatCode="#,##0;[RED]\(#,##0\);\-"/>
    <numFmt numFmtId="171" formatCode="0.000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i val="true"/>
      <sz val="10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FFF2CC"/>
        <bgColor rgb="FFFFF8E7"/>
      </patternFill>
    </fill>
    <fill>
      <patternFill patternType="solid">
        <fgColor rgb="FF1F4E78"/>
        <bgColor rgb="FF305496"/>
      </patternFill>
    </fill>
    <fill>
      <patternFill patternType="solid">
        <fgColor rgb="FFFFF8E7"/>
        <bgColor rgb="FFFFFFFF"/>
      </patternFill>
    </fill>
    <fill>
      <patternFill patternType="solid">
        <fgColor rgb="FFE2EFDA"/>
        <bgColor rgb="FFD9EAD3"/>
      </patternFill>
    </fill>
    <fill>
      <patternFill patternType="solid">
        <fgColor rgb="FF305496"/>
        <bgColor rgb="FF1F4E78"/>
      </patternFill>
    </fill>
    <fill>
      <patternFill patternType="solid">
        <fgColor rgb="FF2E7D32"/>
        <bgColor rgb="FF008000"/>
      </patternFill>
    </fill>
    <fill>
      <patternFill patternType="solid">
        <fgColor rgb="FFC659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D9D9D9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95959"/>
      <rgbColor rgb="FF9999FF"/>
      <rgbColor rgb="FF7030A0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D9EAD3"/>
      <rgbColor rgb="FFFFF8E7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C65911"/>
      <rgbColor rgb="FF666666"/>
      <rgbColor rgb="FF969696"/>
      <rgbColor rgb="FF1F3864"/>
      <rgbColor rgb="FF2E7D32"/>
      <rgbColor rgb="FF003300"/>
      <rgbColor rgb="FF333300"/>
      <rgbColor rgb="FF993300"/>
      <rgbColor rgb="FF993366"/>
      <rgbColor rgb="FF305496"/>
      <rgbColor rgb="FF1F4E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30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6.8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26.8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3" t="s">
        <v>16</v>
      </c>
    </row>
    <row r="22" customFormat="false" ht="26.85" hidden="false" customHeight="false" outlineLevel="0" collapsed="false">
      <c r="A22" s="3" t="s">
        <v>17</v>
      </c>
    </row>
    <row r="23" customFormat="false" ht="26.8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2" t="s">
        <v>20</v>
      </c>
    </row>
    <row r="27" customFormat="false" ht="26.85" hidden="false" customHeight="false" outlineLevel="0" collapsed="false">
      <c r="A27" s="3" t="s">
        <v>21</v>
      </c>
    </row>
    <row r="28" customFormat="false" ht="26.8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26.85" hidden="false" customHeight="false" outlineLevel="0" collapsed="false">
      <c r="A30" s="3" t="s">
        <v>24</v>
      </c>
    </row>
    <row r="31" customFormat="false" ht="26.8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58"/>
  </cols>
  <sheetData>
    <row r="1" customFormat="false" ht="27.75" hidden="false" customHeight="true" outlineLevel="0" collapsed="false">
      <c r="A1" s="1" t="s">
        <v>31</v>
      </c>
      <c r="C1" s="4" t="s">
        <v>32</v>
      </c>
    </row>
    <row r="2" customFormat="false" ht="15" hidden="false" customHeight="false" outlineLevel="0" collapsed="false">
      <c r="A2" s="5" t="s">
        <v>33</v>
      </c>
      <c r="B2" s="6" t="s">
        <v>34</v>
      </c>
      <c r="C2" s="7" t="s">
        <v>35</v>
      </c>
    </row>
    <row r="3" customFormat="false" ht="15" hidden="false" customHeight="false" outlineLevel="0" collapsed="false">
      <c r="A3" s="5" t="s">
        <v>36</v>
      </c>
      <c r="B3" s="6" t="s">
        <v>37</v>
      </c>
      <c r="C3" s="7" t="s">
        <v>38</v>
      </c>
    </row>
    <row r="4" customFormat="false" ht="15" hidden="false" customHeight="false" outlineLevel="0" collapsed="false">
      <c r="A4" s="5" t="s">
        <v>39</v>
      </c>
      <c r="B4" s="8" t="n">
        <v>7800</v>
      </c>
      <c r="C4" s="7" t="s">
        <v>40</v>
      </c>
    </row>
    <row r="5" customFormat="false" ht="15" hidden="false" customHeight="false" outlineLevel="0" collapsed="false">
      <c r="A5" s="5" t="s">
        <v>41</v>
      </c>
      <c r="B5" s="8" t="n">
        <v>620</v>
      </c>
      <c r="C5" s="7" t="s">
        <v>42</v>
      </c>
    </row>
    <row r="6" customFormat="false" ht="15" hidden="false" customHeight="false" outlineLevel="0" collapsed="false">
      <c r="A6" s="5" t="s">
        <v>43</v>
      </c>
      <c r="B6" s="6" t="s">
        <v>44</v>
      </c>
      <c r="C6" s="7" t="s">
        <v>45</v>
      </c>
    </row>
    <row r="7" customFormat="false" ht="15" hidden="false" customHeight="false" outlineLevel="0" collapsed="false">
      <c r="A7" s="5" t="s">
        <v>46</v>
      </c>
      <c r="B7" s="8" t="n">
        <v>32000</v>
      </c>
      <c r="C7" s="7" t="s">
        <v>47</v>
      </c>
    </row>
    <row r="8" customFormat="false" ht="15" hidden="false" customHeight="false" outlineLevel="0" collapsed="false">
      <c r="A8" s="5" t="s">
        <v>48</v>
      </c>
      <c r="B8" s="8" t="n">
        <v>360000</v>
      </c>
      <c r="C8" s="7" t="s">
        <v>49</v>
      </c>
    </row>
    <row r="9" customFormat="false" ht="15" hidden="false" customHeight="false" outlineLevel="0" collapsed="false">
      <c r="A9" s="5" t="s">
        <v>50</v>
      </c>
      <c r="B9" s="6" t="n">
        <v>30</v>
      </c>
      <c r="C9" s="7" t="s">
        <v>51</v>
      </c>
    </row>
    <row r="10" customFormat="false" ht="15" hidden="false" customHeight="false" outlineLevel="0" collapsed="false">
      <c r="A10" s="5" t="s">
        <v>52</v>
      </c>
      <c r="B10" s="6" t="s">
        <v>53</v>
      </c>
      <c r="C10" s="7" t="s">
        <v>54</v>
      </c>
    </row>
    <row r="11" customFormat="false" ht="15" hidden="false" customHeight="false" outlineLevel="0" collapsed="false">
      <c r="A11" s="5" t="s">
        <v>55</v>
      </c>
      <c r="B11" s="6" t="s">
        <v>56</v>
      </c>
      <c r="C11" s="7" t="s">
        <v>57</v>
      </c>
    </row>
    <row r="12" customFormat="false" ht="15" hidden="false" customHeight="false" outlineLevel="0" collapsed="false">
      <c r="A12" s="5" t="s">
        <v>58</v>
      </c>
      <c r="B12" s="8" t="n">
        <v>0</v>
      </c>
      <c r="C12" s="7" t="s">
        <v>59</v>
      </c>
    </row>
    <row r="13" customFormat="false" ht="15" hidden="false" customHeight="false" outlineLevel="0" collapsed="false">
      <c r="A13" s="5" t="s">
        <v>60</v>
      </c>
      <c r="B13" s="9" t="n">
        <v>0.06875</v>
      </c>
      <c r="C13" s="7" t="s">
        <v>61</v>
      </c>
    </row>
    <row r="14" customFormat="false" ht="15" hidden="false" customHeight="false" outlineLevel="0" collapsed="false">
      <c r="A14" s="5" t="s">
        <v>62</v>
      </c>
      <c r="B14" s="6" t="s">
        <v>63</v>
      </c>
      <c r="C14" s="7" t="s">
        <v>64</v>
      </c>
    </row>
    <row r="16" customFormat="false" ht="21.75" hidden="false" customHeight="true" outlineLevel="0" collapsed="false">
      <c r="A16" s="10" t="s">
        <v>65</v>
      </c>
      <c r="B16" s="10"/>
      <c r="C16" s="10"/>
    </row>
    <row r="17" customFormat="false" ht="15" hidden="false" customHeight="false" outlineLevel="0" collapsed="false">
      <c r="A17" s="5" t="s">
        <v>66</v>
      </c>
      <c r="B17" s="11" t="n">
        <v>0.035</v>
      </c>
      <c r="C17" s="7" t="s">
        <v>67</v>
      </c>
    </row>
    <row r="18" customFormat="false" ht="15" hidden="false" customHeight="false" outlineLevel="0" collapsed="false">
      <c r="A18" s="5" t="s">
        <v>68</v>
      </c>
      <c r="B18" s="12" t="n">
        <v>0.0175</v>
      </c>
      <c r="C18" s="7" t="s">
        <v>69</v>
      </c>
    </row>
    <row r="19" customFormat="false" ht="15" hidden="false" customHeight="false" outlineLevel="0" collapsed="false">
      <c r="A19" s="5" t="s">
        <v>70</v>
      </c>
      <c r="B19" s="12" t="n">
        <v>0.0055</v>
      </c>
      <c r="C19" s="7" t="s">
        <v>71</v>
      </c>
    </row>
    <row r="20" customFormat="false" ht="15" hidden="false" customHeight="false" outlineLevel="0" collapsed="false">
      <c r="A20" s="5" t="s">
        <v>72</v>
      </c>
      <c r="B20" s="11" t="n">
        <v>0.05</v>
      </c>
      <c r="C20" s="7" t="s">
        <v>73</v>
      </c>
    </row>
    <row r="21" customFormat="false" ht="15" hidden="false" customHeight="false" outlineLevel="0" collapsed="false">
      <c r="A21" s="5" t="s">
        <v>74</v>
      </c>
      <c r="B21" s="12" t="n">
        <v>0.006</v>
      </c>
      <c r="C21" s="7" t="s">
        <v>75</v>
      </c>
    </row>
    <row r="22" customFormat="false" ht="15" hidden="false" customHeight="false" outlineLevel="0" collapsed="false">
      <c r="A22" s="5" t="s">
        <v>76</v>
      </c>
      <c r="B22" s="11" t="n">
        <v>0.2</v>
      </c>
      <c r="C22" s="7" t="s">
        <v>77</v>
      </c>
    </row>
    <row r="23" customFormat="false" ht="15" hidden="false" customHeight="false" outlineLevel="0" collapsed="false">
      <c r="A23" s="5" t="s">
        <v>78</v>
      </c>
      <c r="B23" s="13" t="n">
        <v>50000</v>
      </c>
      <c r="C23" s="7" t="s">
        <v>79</v>
      </c>
    </row>
    <row r="24" customFormat="false" ht="15" hidden="false" customHeight="false" outlineLevel="0" collapsed="false">
      <c r="A24" s="5" t="s">
        <v>80</v>
      </c>
      <c r="B24" s="12" t="n">
        <v>0.0145</v>
      </c>
      <c r="C24" s="7" t="s">
        <v>81</v>
      </c>
    </row>
    <row r="25" customFormat="false" ht="15" hidden="false" customHeight="false" outlineLevel="0" collapsed="false">
      <c r="A25" s="5" t="s">
        <v>82</v>
      </c>
      <c r="B25" s="12" t="n">
        <v>0.0135</v>
      </c>
      <c r="C25" s="7" t="s">
        <v>83</v>
      </c>
    </row>
    <row r="26" customFormat="false" ht="15" hidden="false" customHeight="false" outlineLevel="0" collapsed="false">
      <c r="A26" s="5" t="s">
        <v>84</v>
      </c>
      <c r="B26" s="13" t="n">
        <v>3300</v>
      </c>
      <c r="C26" s="7" t="s">
        <v>85</v>
      </c>
    </row>
    <row r="27" customFormat="false" ht="15" hidden="false" customHeight="false" outlineLevel="0" collapsed="false">
      <c r="A27" s="5" t="s">
        <v>86</v>
      </c>
      <c r="B27" s="13" t="n">
        <v>2000</v>
      </c>
      <c r="C27" s="7" t="s">
        <v>87</v>
      </c>
    </row>
    <row r="28" customFormat="false" ht="15" hidden="false" customHeight="false" outlineLevel="0" collapsed="false">
      <c r="A28" s="5" t="s">
        <v>88</v>
      </c>
      <c r="B28" s="13" t="n">
        <v>2750</v>
      </c>
      <c r="C28" s="7" t="s">
        <v>89</v>
      </c>
    </row>
    <row r="29" customFormat="false" ht="15" hidden="false" customHeight="false" outlineLevel="0" collapsed="false">
      <c r="A29" s="5" t="s">
        <v>90</v>
      </c>
      <c r="B29" s="13" t="n">
        <v>1600</v>
      </c>
      <c r="C29" s="7" t="s">
        <v>91</v>
      </c>
    </row>
    <row r="30" customFormat="false" ht="15" hidden="false" customHeight="false" outlineLevel="0" collapsed="false">
      <c r="A30" s="5" t="s">
        <v>92</v>
      </c>
      <c r="B30" s="13" t="n">
        <v>2250</v>
      </c>
      <c r="C30" s="7" t="s">
        <v>93</v>
      </c>
    </row>
    <row r="31" customFormat="false" ht="15" hidden="false" customHeight="false" outlineLevel="0" collapsed="false">
      <c r="A31" s="5" t="s">
        <v>94</v>
      </c>
      <c r="B31" s="13" t="n">
        <v>950</v>
      </c>
      <c r="C31" s="7" t="s">
        <v>95</v>
      </c>
    </row>
    <row r="32" customFormat="false" ht="15" hidden="false" customHeight="false" outlineLevel="0" collapsed="false">
      <c r="A32" s="5" t="s">
        <v>96</v>
      </c>
      <c r="B32" s="13" t="n">
        <v>0</v>
      </c>
      <c r="C32" s="7" t="s">
        <v>97</v>
      </c>
    </row>
    <row r="33" customFormat="false" ht="15" hidden="false" customHeight="false" outlineLevel="0" collapsed="false">
      <c r="A33" s="5" t="s">
        <v>98</v>
      </c>
      <c r="B33" s="13" t="n">
        <v>500</v>
      </c>
      <c r="C33" s="7" t="s">
        <v>99</v>
      </c>
    </row>
    <row r="34" customFormat="false" ht="15" hidden="false" customHeight="false" outlineLevel="0" collapsed="false">
      <c r="A34" s="5" t="s">
        <v>100</v>
      </c>
      <c r="B34" s="14" t="n">
        <v>1</v>
      </c>
      <c r="C34" s="7" t="s">
        <v>101</v>
      </c>
    </row>
    <row r="35" customFormat="false" ht="15" hidden="false" customHeight="false" outlineLevel="0" collapsed="false">
      <c r="A35" s="5" t="s">
        <v>102</v>
      </c>
      <c r="B35" s="14" t="n">
        <v>0.5</v>
      </c>
      <c r="C35" s="7" t="s">
        <v>103</v>
      </c>
    </row>
    <row r="36" customFormat="false" ht="15" hidden="false" customHeight="false" outlineLevel="0" collapsed="false">
      <c r="A36" s="5" t="s">
        <v>104</v>
      </c>
      <c r="B36" s="11" t="n">
        <v>0.43</v>
      </c>
      <c r="C36" s="7" t="s">
        <v>105</v>
      </c>
    </row>
    <row r="37" customFormat="false" ht="15" hidden="false" customHeight="false" outlineLevel="0" collapsed="false">
      <c r="A37" s="5" t="s">
        <v>106</v>
      </c>
      <c r="B37" s="11" t="n">
        <v>0.5</v>
      </c>
      <c r="C37" s="7" t="s">
        <v>107</v>
      </c>
    </row>
  </sheetData>
  <mergeCells count="1"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27.75" hidden="false" customHeight="true" outlineLevel="0" collapsed="false">
      <c r="A1" s="1" t="s">
        <v>108</v>
      </c>
      <c r="C1" s="4" t="s">
        <v>109</v>
      </c>
    </row>
    <row r="3" customFormat="false" ht="21.75" hidden="false" customHeight="true" outlineLevel="0" collapsed="false">
      <c r="A3" s="10" t="s">
        <v>110</v>
      </c>
      <c r="B3" s="10"/>
      <c r="C3" s="10"/>
    </row>
    <row r="4" customFormat="false" ht="15" hidden="false" customHeight="false" outlineLevel="0" collapsed="false">
      <c r="A4" s="7" t="s">
        <v>111</v>
      </c>
      <c r="B4" s="15" t="n">
        <f aca="false">Inputs!B8</f>
        <v>360000</v>
      </c>
      <c r="C4" s="7" t="s">
        <v>112</v>
      </c>
    </row>
    <row r="5" customFormat="false" ht="15" hidden="false" customHeight="false" outlineLevel="0" collapsed="false">
      <c r="A5" s="7" t="s">
        <v>55</v>
      </c>
      <c r="B5" s="16" t="str">
        <f aca="false">Inputs!B11</f>
        <v>Seminole</v>
      </c>
      <c r="C5" s="7" t="s">
        <v>113</v>
      </c>
    </row>
    <row r="6" customFormat="false" ht="15" hidden="false" customHeight="false" outlineLevel="0" collapsed="false">
      <c r="A6" s="7" t="s">
        <v>114</v>
      </c>
      <c r="B6" s="15" t="n">
        <f aca="false">Inputs!B23</f>
        <v>50000</v>
      </c>
      <c r="C6" s="7" t="s">
        <v>115</v>
      </c>
    </row>
    <row r="7" customFormat="false" ht="15" hidden="false" customHeight="false" outlineLevel="0" collapsed="false">
      <c r="A7" s="7" t="s">
        <v>116</v>
      </c>
      <c r="B7" s="17" t="n">
        <f aca="false">B4</f>
        <v>360000</v>
      </c>
      <c r="C7" s="7" t="s">
        <v>117</v>
      </c>
    </row>
    <row r="8" customFormat="false" ht="15" hidden="false" customHeight="false" outlineLevel="0" collapsed="false">
      <c r="A8" s="7" t="s">
        <v>118</v>
      </c>
      <c r="B8" s="18" t="n">
        <f aca="false">IF(B5="Seminole",Inputs!B24,IF(B5="Orange",Inputs!B25,0))</f>
        <v>0.0145</v>
      </c>
      <c r="C8" s="7" t="s">
        <v>119</v>
      </c>
    </row>
    <row r="9" customFormat="false" ht="15" hidden="false" customHeight="false" outlineLevel="0" collapsed="false">
      <c r="A9" s="5" t="s">
        <v>120</v>
      </c>
      <c r="B9" s="17" t="n">
        <f aca="false">MAX(0,B7-B6)*B8</f>
        <v>4495</v>
      </c>
      <c r="C9" s="7" t="s">
        <v>121</v>
      </c>
    </row>
    <row r="10" customFormat="false" ht="17.35" hidden="false" customHeight="false" outlineLevel="0" collapsed="false">
      <c r="A10" s="5" t="s">
        <v>122</v>
      </c>
      <c r="B10" s="19" t="n">
        <f aca="false">B9/12</f>
        <v>374.583333333333</v>
      </c>
      <c r="C10" s="7" t="s">
        <v>123</v>
      </c>
    </row>
    <row r="12" customFormat="false" ht="21.75" hidden="false" customHeight="true" outlineLevel="0" collapsed="false">
      <c r="A12" s="10" t="s">
        <v>124</v>
      </c>
      <c r="B12" s="10"/>
      <c r="C12" s="10"/>
    </row>
    <row r="13" customFormat="false" ht="15" hidden="false" customHeight="false" outlineLevel="0" collapsed="false">
      <c r="A13" s="7" t="s">
        <v>125</v>
      </c>
      <c r="B13" s="15" t="n">
        <f aca="false">Inputs!B26</f>
        <v>3300</v>
      </c>
      <c r="C13" s="7" t="s">
        <v>126</v>
      </c>
    </row>
    <row r="14" customFormat="false" ht="17.35" hidden="false" customHeight="false" outlineLevel="0" collapsed="false">
      <c r="A14" s="5" t="s">
        <v>127</v>
      </c>
      <c r="B14" s="19" t="n">
        <f aca="false">B13/12</f>
        <v>275</v>
      </c>
      <c r="C14" s="7" t="s">
        <v>123</v>
      </c>
    </row>
    <row r="16" customFormat="false" ht="21.75" hidden="false" customHeight="true" outlineLevel="0" collapsed="false">
      <c r="A16" s="10" t="s">
        <v>128</v>
      </c>
      <c r="B16" s="10"/>
      <c r="C16" s="10"/>
    </row>
    <row r="17" customFormat="false" ht="17.35" hidden="false" customHeight="false" outlineLevel="0" collapsed="false">
      <c r="A17" s="7" t="s">
        <v>129</v>
      </c>
      <c r="B17" s="19" t="n">
        <f aca="false">Inputs!B12</f>
        <v>0</v>
      </c>
      <c r="C17" s="7" t="s">
        <v>130</v>
      </c>
    </row>
  </sheetData>
  <mergeCells count="3">
    <mergeCell ref="A3:C3"/>
    <mergeCell ref="A12:C1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20"/>
  </cols>
  <sheetData>
    <row r="1" customFormat="false" ht="27.75" hidden="false" customHeight="true" outlineLevel="0" collapsed="false">
      <c r="A1" s="1" t="s">
        <v>131</v>
      </c>
      <c r="C1" s="4" t="s">
        <v>132</v>
      </c>
    </row>
    <row r="3" customFormat="false" ht="21.75" hidden="false" customHeight="true" outlineLevel="0" collapsed="false">
      <c r="A3" s="20" t="s">
        <v>133</v>
      </c>
      <c r="B3" s="20" t="s">
        <v>134</v>
      </c>
      <c r="C3" s="20" t="s">
        <v>135</v>
      </c>
      <c r="D3" s="20" t="s">
        <v>136</v>
      </c>
    </row>
    <row r="4" customFormat="false" ht="15" hidden="false" customHeight="false" outlineLevel="0" collapsed="false">
      <c r="A4" s="7" t="s">
        <v>137</v>
      </c>
      <c r="B4" s="21" t="n">
        <f aca="false">Inputs!B17</f>
        <v>0.035</v>
      </c>
      <c r="C4" s="21" t="n">
        <f aca="false">Inputs!B20</f>
        <v>0.05</v>
      </c>
      <c r="D4" s="21" t="n">
        <f aca="false">Inputs!B22</f>
        <v>0.2</v>
      </c>
    </row>
    <row r="5" customFormat="false" ht="15" hidden="false" customHeight="false" outlineLevel="0" collapsed="false">
      <c r="A5" s="7" t="s">
        <v>138</v>
      </c>
      <c r="B5" s="17" t="n">
        <f aca="false">Inputs!B8*B4</f>
        <v>12600</v>
      </c>
      <c r="C5" s="17" t="n">
        <f aca="false">Inputs!B8*C4</f>
        <v>18000</v>
      </c>
      <c r="D5" s="17" t="n">
        <f aca="false">Inputs!B8*D4</f>
        <v>72000</v>
      </c>
    </row>
    <row r="6" customFormat="false" ht="15" hidden="false" customHeight="false" outlineLevel="0" collapsed="false">
      <c r="A6" s="7" t="s">
        <v>139</v>
      </c>
      <c r="B6" s="17" t="n">
        <f aca="false">Inputs!B8-B5</f>
        <v>347400</v>
      </c>
      <c r="C6" s="17" t="n">
        <f aca="false">Inputs!B8-C5</f>
        <v>342000</v>
      </c>
      <c r="D6" s="17" t="n">
        <f aca="false">Inputs!B8-D5</f>
        <v>288000</v>
      </c>
    </row>
    <row r="7" customFormat="false" ht="15" hidden="false" customHeight="false" outlineLevel="0" collapsed="false">
      <c r="A7" s="7" t="s">
        <v>140</v>
      </c>
      <c r="B7" s="17" t="n">
        <f aca="false">B6*Inputs!B18</f>
        <v>6079.5</v>
      </c>
      <c r="C7" s="17" t="n">
        <f aca="false">0</f>
        <v>0</v>
      </c>
      <c r="D7" s="17" t="n">
        <f aca="false">0</f>
        <v>0</v>
      </c>
    </row>
    <row r="8" customFormat="false" ht="15" hidden="false" customHeight="false" outlineLevel="0" collapsed="false">
      <c r="A8" s="5" t="s">
        <v>141</v>
      </c>
      <c r="B8" s="17" t="n">
        <f aca="false">B6+B7</f>
        <v>353479.5</v>
      </c>
      <c r="C8" s="17" t="n">
        <f aca="false">C6+C7</f>
        <v>342000</v>
      </c>
      <c r="D8" s="17" t="n">
        <f aca="false">D6+D7</f>
        <v>288000</v>
      </c>
    </row>
    <row r="9" customFormat="false" ht="15" hidden="false" customHeight="false" outlineLevel="0" collapsed="false">
      <c r="A9" s="7" t="s">
        <v>142</v>
      </c>
      <c r="B9" s="22" t="n">
        <f aca="false">Inputs!B9*12</f>
        <v>360</v>
      </c>
      <c r="C9" s="22" t="n">
        <f aca="false">Inputs!B9*12</f>
        <v>360</v>
      </c>
      <c r="D9" s="22" t="n">
        <f aca="false">Inputs!B9*12</f>
        <v>360</v>
      </c>
    </row>
    <row r="10" customFormat="false" ht="15" hidden="false" customHeight="false" outlineLevel="0" collapsed="false">
      <c r="A10" s="7" t="s">
        <v>143</v>
      </c>
      <c r="B10" s="23" t="n">
        <f aca="false">Inputs!B13/12</f>
        <v>0.00572916666666667</v>
      </c>
      <c r="C10" s="23" t="n">
        <f aca="false">Inputs!B13/12</f>
        <v>0.00572916666666667</v>
      </c>
      <c r="D10" s="23" t="n">
        <f aca="false">Inputs!B13/12</f>
        <v>0.00572916666666667</v>
      </c>
    </row>
    <row r="11" customFormat="false" ht="17.35" hidden="false" customHeight="false" outlineLevel="0" collapsed="false">
      <c r="A11" s="5" t="s">
        <v>144</v>
      </c>
      <c r="B11" s="19" t="n">
        <f aca="false">-PMT(B10,B9,B8)</f>
        <v>2322.10868593614</v>
      </c>
      <c r="C11" s="19" t="n">
        <f aca="false">-PMT(C10,C9,C8)</f>
        <v>2246.69654277026</v>
      </c>
      <c r="D11" s="19" t="n">
        <f aca="false">-PMT(D10,D9,D8)</f>
        <v>1891.95498338548</v>
      </c>
    </row>
    <row r="12" customFormat="false" ht="17.35" hidden="false" customHeight="false" outlineLevel="0" collapsed="false">
      <c r="A12" s="5" t="s">
        <v>145</v>
      </c>
      <c r="B12" s="19" t="n">
        <f aca="false">B8*Inputs!B19/12</f>
        <v>162.0114375</v>
      </c>
      <c r="C12" s="19" t="n">
        <f aca="false">IF(C4&lt;0.2,C8*Inputs!B21/12,0)</f>
        <v>171</v>
      </c>
      <c r="D12" s="19" t="n">
        <f aca="false">IF(D4&lt;0.2,D8*Inputs!B21/12,0)</f>
        <v>0</v>
      </c>
    </row>
    <row r="13" customFormat="false" ht="15" hidden="false" customHeight="false" outlineLevel="0" collapsed="false">
      <c r="A13" s="7" t="s">
        <v>146</v>
      </c>
      <c r="B13" s="24" t="n">
        <f aca="false">'PITI Build-Up'!B10</f>
        <v>374.583333333333</v>
      </c>
      <c r="C13" s="24" t="n">
        <f aca="false">'PITI Build-Up'!B10</f>
        <v>374.583333333333</v>
      </c>
      <c r="D13" s="24" t="n">
        <f aca="false">'PITI Build-Up'!B10</f>
        <v>374.583333333333</v>
      </c>
    </row>
    <row r="14" customFormat="false" ht="15" hidden="false" customHeight="false" outlineLevel="0" collapsed="false">
      <c r="A14" s="7" t="s">
        <v>147</v>
      </c>
      <c r="B14" s="24" t="n">
        <f aca="false">'PITI Build-Up'!B14</f>
        <v>275</v>
      </c>
      <c r="C14" s="24" t="n">
        <f aca="false">'PITI Build-Up'!B14</f>
        <v>275</v>
      </c>
      <c r="D14" s="24" t="n">
        <f aca="false">'PITI Build-Up'!B14</f>
        <v>275</v>
      </c>
    </row>
    <row r="15" customFormat="false" ht="15" hidden="false" customHeight="false" outlineLevel="0" collapsed="false">
      <c r="A15" s="7" t="s">
        <v>129</v>
      </c>
      <c r="B15" s="24" t="n">
        <f aca="false">'PITI Build-Up'!B17</f>
        <v>0</v>
      </c>
      <c r="C15" s="24" t="n">
        <f aca="false">'PITI Build-Up'!B17</f>
        <v>0</v>
      </c>
      <c r="D15" s="24" t="n">
        <f aca="false">'PITI Build-Up'!B17</f>
        <v>0</v>
      </c>
    </row>
    <row r="16" customFormat="false" ht="25.5" hidden="false" customHeight="true" outlineLevel="0" collapsed="false">
      <c r="A16" s="5" t="s">
        <v>148</v>
      </c>
      <c r="B16" s="25" t="n">
        <f aca="false">SUM(B11:B15)</f>
        <v>3133.70345676947</v>
      </c>
      <c r="C16" s="25" t="n">
        <f aca="false">SUM(C11:C15)</f>
        <v>3067.27987610359</v>
      </c>
      <c r="D16" s="25" t="n">
        <f aca="false">SUM(D11:D15)</f>
        <v>2541.53831671881</v>
      </c>
    </row>
    <row r="18" customFormat="false" ht="17.35" hidden="false" customHeight="false" outlineLevel="0" collapsed="false">
      <c r="A18" s="5" t="s">
        <v>149</v>
      </c>
      <c r="B18" s="26" t="n">
        <f aca="false">IFERROR(B16/Inputs!B4,0)</f>
        <v>0.401756853431984</v>
      </c>
      <c r="C18" s="26" t="n">
        <f aca="false">IFERROR(C16/Inputs!B4,0)</f>
        <v>0.393241009756871</v>
      </c>
      <c r="D18" s="26" t="n">
        <f aca="false">IFERROR(D16/Inputs!B4,0)</f>
        <v>0.325838245733181</v>
      </c>
    </row>
    <row r="19" customFormat="false" ht="17.35" hidden="false" customHeight="false" outlineLevel="0" collapsed="false">
      <c r="A19" s="5" t="s">
        <v>150</v>
      </c>
      <c r="B19" s="26" t="n">
        <f aca="false">IFERROR((B16+Inputs!B5)/Inputs!B4,0)</f>
        <v>0.481244032919163</v>
      </c>
      <c r="C19" s="26" t="n">
        <f aca="false">IFERROR((C16+Inputs!B5)/Inputs!B4,0)</f>
        <v>0.47272818924405</v>
      </c>
      <c r="D19" s="26" t="n">
        <f aca="false">IFERROR((D16+Inputs!B5)/Inputs!B4,0)</f>
        <v>0.405325425220361</v>
      </c>
    </row>
    <row r="21" customFormat="false" ht="13.5" hidden="false" customHeight="true" outlineLevel="0" collapsed="false">
      <c r="A21" s="27" t="s">
        <v>151</v>
      </c>
    </row>
    <row r="22" customFormat="false" ht="22.35" hidden="false" customHeight="false" outlineLevel="0" collapsed="false">
      <c r="A22" s="28" t="s">
        <v>152</v>
      </c>
    </row>
    <row r="23" customFormat="false" ht="22.35" hidden="false" customHeight="false" outlineLevel="0" collapsed="false">
      <c r="A23" s="28" t="s">
        <v>153</v>
      </c>
    </row>
    <row r="24" customFormat="false" ht="22.35" hidden="false" customHeight="false" outlineLevel="0" collapsed="false">
      <c r="A24" s="28" t="s">
        <v>154</v>
      </c>
    </row>
  </sheetData>
  <conditionalFormatting sqref="B19">
    <cfRule type="expression" priority="2" aboveAverage="0" equalAverage="0" bottom="0" percent="0" rank="0" text="" dxfId="0">
      <formula>B19&gt;=Inputs!$B$37</formula>
    </cfRule>
    <cfRule type="expression" priority="3" aboveAverage="0" equalAverage="0" bottom="0" percent="0" rank="0" text="" dxfId="1">
      <formula>B19&gt;=Inputs!$B$36</formula>
    </cfRule>
    <cfRule type="expression" priority="4" aboveAverage="0" equalAverage="0" bottom="0" percent="0" rank="0" text="" dxfId="2">
      <formula>AND(B19&gt;0,B19&lt;Inputs!$B$36)</formula>
    </cfRule>
  </conditionalFormatting>
  <conditionalFormatting sqref="C19">
    <cfRule type="expression" priority="5" aboveAverage="0" equalAverage="0" bottom="0" percent="0" rank="0" text="" dxfId="0">
      <formula>C19&gt;=Inputs!$B$37</formula>
    </cfRule>
    <cfRule type="expression" priority="6" aboveAverage="0" equalAverage="0" bottom="0" percent="0" rank="0" text="" dxfId="1">
      <formula>C19&gt;=Inputs!$B$36</formula>
    </cfRule>
    <cfRule type="expression" priority="7" aboveAverage="0" equalAverage="0" bottom="0" percent="0" rank="0" text="" dxfId="2">
      <formula>AND(C19&gt;0,C19&lt;Inputs!$B$36)</formula>
    </cfRule>
  </conditionalFormatting>
  <conditionalFormatting sqref="D19">
    <cfRule type="expression" priority="8" aboveAverage="0" equalAverage="0" bottom="0" percent="0" rank="0" text="" dxfId="0">
      <formula>D19&gt;=Inputs!$B$37</formula>
    </cfRule>
    <cfRule type="expression" priority="9" aboveAverage="0" equalAverage="0" bottom="0" percent="0" rank="0" text="" dxfId="1">
      <formula>D19&gt;=Inputs!$B$36</formula>
    </cfRule>
    <cfRule type="expression" priority="10" aboveAverage="0" equalAverage="0" bottom="0" percent="0" rank="0" text="" dxfId="2">
      <formula>AND(D19&gt;0,D19&lt;Inputs!$B$36)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20"/>
  </cols>
  <sheetData>
    <row r="1" customFormat="false" ht="27.75" hidden="false" customHeight="true" outlineLevel="0" collapsed="false">
      <c r="A1" s="1" t="s">
        <v>155</v>
      </c>
      <c r="C1" s="4" t="s">
        <v>156</v>
      </c>
    </row>
    <row r="3" customFormat="false" ht="21.75" hidden="false" customHeight="true" outlineLevel="0" collapsed="false">
      <c r="A3" s="20" t="s">
        <v>133</v>
      </c>
      <c r="B3" s="20" t="s">
        <v>157</v>
      </c>
      <c r="C3" s="20" t="s">
        <v>158</v>
      </c>
      <c r="D3" s="20" t="s">
        <v>159</v>
      </c>
    </row>
    <row r="4" customFormat="false" ht="15" hidden="false" customHeight="false" outlineLevel="0" collapsed="false">
      <c r="A4" s="5" t="s">
        <v>138</v>
      </c>
      <c r="B4" s="15" t="n">
        <f aca="false">'Loan Scenarios'!B5</f>
        <v>12600</v>
      </c>
      <c r="C4" s="15" t="n">
        <f aca="false">'Loan Scenarios'!C5</f>
        <v>18000</v>
      </c>
      <c r="D4" s="15" t="n">
        <f aca="false">'Loan Scenarios'!D5</f>
        <v>72000</v>
      </c>
    </row>
    <row r="5" customFormat="false" ht="15" hidden="false" customHeight="false" outlineLevel="0" collapsed="false">
      <c r="A5" s="7" t="s">
        <v>160</v>
      </c>
      <c r="B5" s="15" t="n">
        <f aca="false">Inputs!B27</f>
        <v>2000</v>
      </c>
      <c r="C5" s="15" t="n">
        <f aca="false">Inputs!B27</f>
        <v>2000</v>
      </c>
      <c r="D5" s="15" t="n">
        <f aca="false">Inputs!B27</f>
        <v>2000</v>
      </c>
    </row>
    <row r="6" customFormat="false" ht="15" hidden="false" customHeight="false" outlineLevel="0" collapsed="false">
      <c r="A6" s="7" t="s">
        <v>161</v>
      </c>
      <c r="B6" s="15" t="n">
        <f aca="false">Inputs!B28</f>
        <v>2750</v>
      </c>
      <c r="C6" s="15" t="n">
        <f aca="false">Inputs!B28</f>
        <v>2750</v>
      </c>
      <c r="D6" s="15" t="n">
        <f aca="false">Inputs!B28</f>
        <v>2750</v>
      </c>
    </row>
    <row r="7" customFormat="false" ht="15" hidden="false" customHeight="false" outlineLevel="0" collapsed="false">
      <c r="A7" s="7" t="s">
        <v>162</v>
      </c>
      <c r="B7" s="15" t="n">
        <f aca="false">Inputs!B29</f>
        <v>1600</v>
      </c>
      <c r="C7" s="15" t="n">
        <f aca="false">Inputs!B29</f>
        <v>1600</v>
      </c>
      <c r="D7" s="15" t="n">
        <f aca="false">Inputs!B29</f>
        <v>1600</v>
      </c>
    </row>
    <row r="8" customFormat="false" ht="15" hidden="false" customHeight="false" outlineLevel="0" collapsed="false">
      <c r="A8" s="7" t="s">
        <v>163</v>
      </c>
      <c r="B8" s="15" t="n">
        <f aca="false">Inputs!B30</f>
        <v>2250</v>
      </c>
      <c r="C8" s="15" t="n">
        <f aca="false">Inputs!B30</f>
        <v>2250</v>
      </c>
      <c r="D8" s="15" t="n">
        <f aca="false">Inputs!B30</f>
        <v>2250</v>
      </c>
    </row>
    <row r="9" customFormat="false" ht="15" hidden="false" customHeight="false" outlineLevel="0" collapsed="false">
      <c r="A9" s="7" t="s">
        <v>164</v>
      </c>
      <c r="B9" s="15" t="n">
        <f aca="false">Inputs!B31</f>
        <v>950</v>
      </c>
      <c r="C9" s="15" t="n">
        <f aca="false">Inputs!B31</f>
        <v>950</v>
      </c>
      <c r="D9" s="15" t="n">
        <f aca="false">Inputs!B31</f>
        <v>950</v>
      </c>
    </row>
    <row r="10" customFormat="false" ht="15" hidden="false" customHeight="false" outlineLevel="0" collapsed="false">
      <c r="A10" s="7" t="s">
        <v>165</v>
      </c>
      <c r="B10" s="15" t="n">
        <f aca="false">Inputs!B32</f>
        <v>0</v>
      </c>
      <c r="C10" s="15" t="n">
        <f aca="false">Inputs!B32</f>
        <v>0</v>
      </c>
      <c r="D10" s="15" t="n">
        <f aca="false">Inputs!B32</f>
        <v>0</v>
      </c>
    </row>
    <row r="11" customFormat="false" ht="25.5" hidden="false" customHeight="true" outlineLevel="0" collapsed="false">
      <c r="A11" s="5" t="s">
        <v>166</v>
      </c>
      <c r="B11" s="29" t="n">
        <f aca="false">SUM(B4:B10)</f>
        <v>22150</v>
      </c>
      <c r="C11" s="29" t="n">
        <f aca="false">SUM(C4:C10)</f>
        <v>27550</v>
      </c>
      <c r="D11" s="29" t="n">
        <f aca="false">SUM(D4:D10)</f>
        <v>81550</v>
      </c>
    </row>
    <row r="13" customFormat="false" ht="15" hidden="false" customHeight="false" outlineLevel="0" collapsed="false">
      <c r="A13" s="27" t="s">
        <v>151</v>
      </c>
    </row>
    <row r="14" customFormat="false" ht="22.35" hidden="false" customHeight="false" outlineLevel="0" collapsed="false">
      <c r="A14" s="28" t="s">
        <v>167</v>
      </c>
    </row>
    <row r="15" customFormat="false" ht="22.35" hidden="false" customHeight="false" outlineLevel="0" collapsed="false">
      <c r="A15" s="28" t="s">
        <v>168</v>
      </c>
    </row>
    <row r="16" customFormat="false" ht="22.35" hidden="false" customHeight="false" outlineLevel="0" collapsed="false">
      <c r="A16" s="28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20"/>
  </cols>
  <sheetData>
    <row r="1" customFormat="false" ht="27.75" hidden="false" customHeight="true" outlineLevel="0" collapsed="false">
      <c r="A1" s="1" t="s">
        <v>170</v>
      </c>
      <c r="C1" s="4" t="s">
        <v>171</v>
      </c>
    </row>
    <row r="3" customFormat="false" ht="21.75" hidden="false" customHeight="true" outlineLevel="0" collapsed="false">
      <c r="A3" s="20" t="s">
        <v>133</v>
      </c>
      <c r="B3" s="20" t="s">
        <v>157</v>
      </c>
      <c r="C3" s="20" t="s">
        <v>158</v>
      </c>
      <c r="D3" s="20" t="s">
        <v>159</v>
      </c>
    </row>
    <row r="4" customFormat="false" ht="15" hidden="false" customHeight="false" outlineLevel="0" collapsed="false">
      <c r="A4" s="7" t="s">
        <v>172</v>
      </c>
      <c r="B4" s="15" t="n">
        <f aca="false">Inputs!B7</f>
        <v>32000</v>
      </c>
      <c r="C4" s="15" t="n">
        <f aca="false">Inputs!B7</f>
        <v>32000</v>
      </c>
      <c r="D4" s="15" t="n">
        <f aca="false">Inputs!B7</f>
        <v>32000</v>
      </c>
    </row>
    <row r="5" customFormat="false" ht="15" hidden="false" customHeight="false" outlineLevel="0" collapsed="false">
      <c r="A5" s="7" t="s">
        <v>173</v>
      </c>
      <c r="B5" s="15" t="n">
        <f aca="false">'Cash to Close'!B11</f>
        <v>22150</v>
      </c>
      <c r="C5" s="15" t="n">
        <f aca="false">'Cash to Close'!C11</f>
        <v>27550</v>
      </c>
      <c r="D5" s="15" t="n">
        <f aca="false">'Cash to Close'!D11</f>
        <v>81550</v>
      </c>
    </row>
    <row r="6" customFormat="false" ht="17.35" hidden="false" customHeight="false" outlineLevel="0" collapsed="false">
      <c r="A6" s="5" t="s">
        <v>174</v>
      </c>
      <c r="B6" s="30" t="n">
        <f aca="false">B4-B5</f>
        <v>9850</v>
      </c>
      <c r="C6" s="30" t="n">
        <f aca="false">C4-C5</f>
        <v>4450</v>
      </c>
      <c r="D6" s="30" t="n">
        <f aca="false">D4-D5</f>
        <v>-49550</v>
      </c>
    </row>
    <row r="7" customFormat="false" ht="15" hidden="false" customHeight="false" outlineLevel="0" collapsed="false">
      <c r="A7" s="7" t="s">
        <v>175</v>
      </c>
      <c r="B7" s="24" t="n">
        <f aca="false">'Loan Scenarios'!B16</f>
        <v>3133.70345676947</v>
      </c>
      <c r="C7" s="24" t="n">
        <f aca="false">'Loan Scenarios'!C16</f>
        <v>3067.27987610359</v>
      </c>
      <c r="D7" s="24" t="n">
        <f aca="false">'Loan Scenarios'!D16</f>
        <v>2541.53831671881</v>
      </c>
    </row>
    <row r="8" customFormat="false" ht="25.5" hidden="false" customHeight="true" outlineLevel="0" collapsed="false">
      <c r="A8" s="5" t="s">
        <v>176</v>
      </c>
      <c r="B8" s="31" t="n">
        <f aca="false">IFERROR(B6/B7,0)</f>
        <v>3.14324572694391</v>
      </c>
      <c r="C8" s="31" t="n">
        <f aca="false">IFERROR(C6/C7,0)</f>
        <v>1.45079685576423</v>
      </c>
      <c r="D8" s="31" t="n">
        <f aca="false">IFERROR(D6/D7,0)</f>
        <v>-19.4960664862099</v>
      </c>
    </row>
    <row r="9" customFormat="false" ht="15" hidden="false" customHeight="false" outlineLevel="0" collapsed="false">
      <c r="A9" s="5" t="s">
        <v>177</v>
      </c>
      <c r="B9" s="32" t="str">
        <f aca="false">IF(B8&lt;0,"RED — negative reserves",IF(B8&lt;Inputs!$B$35,"RED — under "&amp;TEXT(Inputs!$B$35,"0.0")&amp;" mo",IF(B8&lt;Inputs!$B$34,"YELLOW — under "&amp;TEXT(Inputs!$B$34,"0.0")&amp;" mo","OK")))</f>
        <v>OK</v>
      </c>
      <c r="C9" s="32" t="str">
        <f aca="false">IF(C8&lt;0,"RED — negative reserves",IF(C8&lt;Inputs!$B$35,"RED — under "&amp;TEXT(Inputs!$B$35,"0.0")&amp;" mo",IF(C8&lt;Inputs!$B$34,"YELLOW — under "&amp;TEXT(Inputs!$B$34,"0.0")&amp;" mo","OK")))</f>
        <v>OK</v>
      </c>
      <c r="D9" s="32" t="str">
        <f aca="false">IF(D8&lt;0,"RED — negative reserves",IF(D8&lt;Inputs!$B$35,"RED — under "&amp;TEXT(Inputs!$B$35,"0.0")&amp;" mo",IF(D8&lt;Inputs!$B$34,"YELLOW — under "&amp;TEXT(Inputs!$B$34,"0.0")&amp;" mo","OK")))</f>
        <v>RED — negative reserves</v>
      </c>
    </row>
    <row r="11" customFormat="false" ht="21.75" hidden="false" customHeight="true" outlineLevel="0" collapsed="false">
      <c r="A11" s="10" t="s">
        <v>178</v>
      </c>
      <c r="B11" s="10"/>
      <c r="C11" s="10"/>
      <c r="D11" s="10"/>
    </row>
    <row r="12" customFormat="false" ht="15" hidden="false" customHeight="false" outlineLevel="0" collapsed="false">
      <c r="A12" s="7" t="s">
        <v>179</v>
      </c>
      <c r="B12" s="21" t="n">
        <f aca="false">'Loan Scenarios'!B18</f>
        <v>0.401756853431984</v>
      </c>
      <c r="C12" s="21" t="n">
        <f aca="false">'Loan Scenarios'!C18</f>
        <v>0.393241009756871</v>
      </c>
      <c r="D12" s="21" t="n">
        <f aca="false">'Loan Scenarios'!D18</f>
        <v>0.325838245733181</v>
      </c>
    </row>
    <row r="13" customFormat="false" ht="17.35" hidden="false" customHeight="false" outlineLevel="0" collapsed="false">
      <c r="A13" s="5" t="s">
        <v>180</v>
      </c>
      <c r="B13" s="26" t="n">
        <f aca="false">'Loan Scenarios'!B19</f>
        <v>0.481244032919163</v>
      </c>
      <c r="C13" s="26" t="n">
        <f aca="false">'Loan Scenarios'!C19</f>
        <v>0.47272818924405</v>
      </c>
      <c r="D13" s="26" t="n">
        <f aca="false">'Loan Scenarios'!D19</f>
        <v>0.405325425220361</v>
      </c>
    </row>
    <row r="14" customFormat="false" ht="15" hidden="false" customHeight="false" outlineLevel="0" collapsed="false">
      <c r="A14" s="5" t="s">
        <v>181</v>
      </c>
      <c r="B14" s="32" t="str">
        <f aca="false">IF(B13&gt;=Inputs!$B$37,"RED — over "&amp;TEXT(Inputs!$B$37,"0%"),IF(B13&gt;=Inputs!$B$36,"YELLOW — over "&amp;TEXT(Inputs!$B$36,"0%"),"OK"))</f>
        <v>YELLOW — over 43%</v>
      </c>
      <c r="C14" s="32" t="str">
        <f aca="false">IF(C13&gt;=Inputs!$B$37,"RED — over "&amp;TEXT(Inputs!$B$37,"0%"),IF(C13&gt;=Inputs!$B$36,"YELLOW — over "&amp;TEXT(Inputs!$B$36,"0%"),"OK"))</f>
        <v>YELLOW — over 43%</v>
      </c>
      <c r="D14" s="32" t="str">
        <f aca="false">IF(D13&gt;=Inputs!$B$37,"RED — over "&amp;TEXT(Inputs!$B$37,"0%"),IF(D13&gt;=Inputs!$B$36,"YELLOW — over "&amp;TEXT(Inputs!$B$36,"0%"),"OK"))</f>
        <v>OK</v>
      </c>
    </row>
    <row r="16" customFormat="false" ht="15" hidden="false" customHeight="false" outlineLevel="0" collapsed="false">
      <c r="A16" s="27" t="s">
        <v>182</v>
      </c>
    </row>
    <row r="17" customFormat="false" ht="22.35" hidden="false" customHeight="false" outlineLevel="0" collapsed="false">
      <c r="A17" s="28" t="s">
        <v>183</v>
      </c>
    </row>
    <row r="18" customFormat="false" ht="22.35" hidden="false" customHeight="false" outlineLevel="0" collapsed="false">
      <c r="A18" s="28" t="s">
        <v>184</v>
      </c>
    </row>
    <row r="19" customFormat="false" ht="22.35" hidden="false" customHeight="false" outlineLevel="0" collapsed="false">
      <c r="A19" s="28" t="s">
        <v>185</v>
      </c>
    </row>
  </sheetData>
  <mergeCells count="1">
    <mergeCell ref="A11:D11"/>
  </mergeCells>
  <conditionalFormatting sqref="B9">
    <cfRule type="expression" priority="2" aboveAverage="0" equalAverage="0" bottom="0" percent="0" rank="0" text="" dxfId="0">
      <formula>ISNUMBER(SEARCH("RED",B9))</formula>
    </cfRule>
    <cfRule type="expression" priority="3" aboveAverage="0" equalAverage="0" bottom="0" percent="0" rank="0" text="" dxfId="1">
      <formula>ISNUMBER(SEARCH("YELLOW",B9))</formula>
    </cfRule>
    <cfRule type="expression" priority="4" aboveAverage="0" equalAverage="0" bottom="0" percent="0" rank="0" text="" dxfId="2">
      <formula>EXACT(B9,"OK")</formula>
    </cfRule>
  </conditionalFormatting>
  <conditionalFormatting sqref="C9">
    <cfRule type="expression" priority="5" aboveAverage="0" equalAverage="0" bottom="0" percent="0" rank="0" text="" dxfId="0">
      <formula>ISNUMBER(SEARCH("RED",C9))</formula>
    </cfRule>
    <cfRule type="expression" priority="6" aboveAverage="0" equalAverage="0" bottom="0" percent="0" rank="0" text="" dxfId="1">
      <formula>ISNUMBER(SEARCH("YELLOW",C9))</formula>
    </cfRule>
    <cfRule type="expression" priority="7" aboveAverage="0" equalAverage="0" bottom="0" percent="0" rank="0" text="" dxfId="2">
      <formula>EXACT(C9,"OK")</formula>
    </cfRule>
  </conditionalFormatting>
  <conditionalFormatting sqref="D9">
    <cfRule type="expression" priority="8" aboveAverage="0" equalAverage="0" bottom="0" percent="0" rank="0" text="" dxfId="0">
      <formula>ISNUMBER(SEARCH("RED",D9))</formula>
    </cfRule>
    <cfRule type="expression" priority="9" aboveAverage="0" equalAverage="0" bottom="0" percent="0" rank="0" text="" dxfId="1">
      <formula>ISNUMBER(SEARCH("YELLOW",D9))</formula>
    </cfRule>
    <cfRule type="expression" priority="10" aboveAverage="0" equalAverage="0" bottom="0" percent="0" rank="0" text="" dxfId="2">
      <formula>EXACT(D9,"OK")</formula>
    </cfRule>
  </conditionalFormatting>
  <conditionalFormatting sqref="B14">
    <cfRule type="expression" priority="11" aboveAverage="0" equalAverage="0" bottom="0" percent="0" rank="0" text="" dxfId="0">
      <formula>ISNUMBER(SEARCH("RED",B14))</formula>
    </cfRule>
    <cfRule type="expression" priority="12" aboveAverage="0" equalAverage="0" bottom="0" percent="0" rank="0" text="" dxfId="1">
      <formula>ISNUMBER(SEARCH("YELLOW",B14))</formula>
    </cfRule>
    <cfRule type="expression" priority="13" aboveAverage="0" equalAverage="0" bottom="0" percent="0" rank="0" text="" dxfId="2">
      <formula>EXACT(B14,"OK")</formula>
    </cfRule>
  </conditionalFormatting>
  <conditionalFormatting sqref="C14">
    <cfRule type="expression" priority="14" aboveAverage="0" equalAverage="0" bottom="0" percent="0" rank="0" text="" dxfId="0">
      <formula>ISNUMBER(SEARCH("RED",C14))</formula>
    </cfRule>
    <cfRule type="expression" priority="15" aboveAverage="0" equalAverage="0" bottom="0" percent="0" rank="0" text="" dxfId="1">
      <formula>ISNUMBER(SEARCH("YELLOW",C14))</formula>
    </cfRule>
    <cfRule type="expression" priority="16" aboveAverage="0" equalAverage="0" bottom="0" percent="0" rank="0" text="" dxfId="2">
      <formula>EXACT(C14,"OK")</formula>
    </cfRule>
  </conditionalFormatting>
  <conditionalFormatting sqref="D14">
    <cfRule type="expression" priority="17" aboveAverage="0" equalAverage="0" bottom="0" percent="0" rank="0" text="" dxfId="0">
      <formula>ISNUMBER(SEARCH("RED",D14))</formula>
    </cfRule>
    <cfRule type="expression" priority="18" aboveAverage="0" equalAverage="0" bottom="0" percent="0" rank="0" text="" dxfId="1">
      <formula>ISNUMBER(SEARCH("YELLOW",D14))</formula>
    </cfRule>
    <cfRule type="expression" priority="19" aboveAverage="0" equalAverage="0" bottom="0" percent="0" rank="0" text="" dxfId="2">
      <formula>EXACT(D14,"OK")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1" min="9" style="0" width="12"/>
    <col collapsed="false" customWidth="true" hidden="false" outlineLevel="0" max="14" min="12" style="0" width="16"/>
    <col collapsed="false" customWidth="true" hidden="false" outlineLevel="0" max="15" min="15" style="0" width="14"/>
  </cols>
  <sheetData>
    <row r="1" customFormat="false" ht="27.75" hidden="false" customHeight="true" outlineLevel="0" collapsed="false">
      <c r="A1" s="33" t="s">
        <v>186</v>
      </c>
      <c r="B1" s="33"/>
      <c r="C1" s="33"/>
      <c r="D1" s="33"/>
      <c r="E1" s="33"/>
      <c r="F1" s="33"/>
      <c r="G1" s="34" t="s">
        <v>187</v>
      </c>
      <c r="H1" s="34"/>
      <c r="I1" s="34"/>
      <c r="J1" s="34"/>
      <c r="K1" s="34"/>
      <c r="L1" s="34"/>
      <c r="M1" s="34"/>
      <c r="N1" s="34"/>
      <c r="O1" s="34"/>
    </row>
    <row r="3" customFormat="false" ht="15" hidden="false" customHeight="true" outlineLevel="0" collapsed="false">
      <c r="A3" s="35" t="s">
        <v>188</v>
      </c>
      <c r="B3" s="35"/>
      <c r="C3" s="35"/>
      <c r="D3" s="6" t="n">
        <v>1</v>
      </c>
      <c r="E3" s="36" t="s">
        <v>189</v>
      </c>
      <c r="F3" s="36"/>
      <c r="G3" s="36"/>
      <c r="H3" s="36"/>
      <c r="I3" s="36"/>
      <c r="J3" s="36"/>
      <c r="K3" s="36"/>
      <c r="L3" s="36"/>
      <c r="M3" s="36"/>
      <c r="N3" s="36"/>
      <c r="O3" s="36"/>
    </row>
    <row r="5" customFormat="false" ht="30" hidden="false" customHeight="true" outlineLevel="0" collapsed="false">
      <c r="A5" s="20" t="s">
        <v>190</v>
      </c>
      <c r="B5" s="20" t="s">
        <v>191</v>
      </c>
      <c r="C5" s="20" t="s">
        <v>55</v>
      </c>
      <c r="D5" s="20" t="s">
        <v>192</v>
      </c>
      <c r="E5" s="20" t="s">
        <v>193</v>
      </c>
      <c r="F5" s="20" t="s">
        <v>194</v>
      </c>
      <c r="G5" s="20" t="s">
        <v>195</v>
      </c>
      <c r="H5" s="20" t="s">
        <v>144</v>
      </c>
      <c r="I5" s="20" t="s">
        <v>196</v>
      </c>
      <c r="J5" s="20" t="s">
        <v>197</v>
      </c>
      <c r="K5" s="20" t="s">
        <v>198</v>
      </c>
      <c r="L5" s="20" t="s">
        <v>199</v>
      </c>
      <c r="M5" s="20" t="s">
        <v>200</v>
      </c>
      <c r="N5" s="20" t="s">
        <v>173</v>
      </c>
      <c r="O5" s="20" t="s">
        <v>201</v>
      </c>
    </row>
    <row r="6" customFormat="false" ht="26.85" hidden="false" customHeight="false" outlineLevel="0" collapsed="false">
      <c r="A6" s="37" t="s">
        <v>202</v>
      </c>
      <c r="B6" s="38" t="str">
        <f aca="false">Inputs!B14</f>
        <v>Sanford, maybe Lake Mary</v>
      </c>
      <c r="C6" s="39" t="str">
        <f aca="false">Inputs!B11</f>
        <v>Seminole</v>
      </c>
      <c r="D6" s="15" t="n">
        <f aca="false">Inputs!B8</f>
        <v>360000</v>
      </c>
      <c r="E6" s="15" t="n">
        <f aca="false">Inputs!B12</f>
        <v>0</v>
      </c>
      <c r="F6" s="17" t="n">
        <f aca="false">D6*CHOOSE($D$3,Inputs!$B$17,Inputs!$B$20,Inputs!$B$22)</f>
        <v>12600</v>
      </c>
      <c r="G6" s="17" t="n">
        <f aca="false">(D6-F6)*(1+CHOOSE($D$3,Inputs!$B$18,0,0))</f>
        <v>353479.5</v>
      </c>
      <c r="H6" s="40" t="n">
        <f aca="false">-PMT(Inputs!$B$13/12,Inputs!$B$9*12,G6)</f>
        <v>2322.10868593614</v>
      </c>
      <c r="I6" s="40" t="n">
        <f aca="false">G6*CHOOSE($D$3,Inputs!$B$19,Inputs!$B$21,0)/12</f>
        <v>162.0114375</v>
      </c>
      <c r="J6" s="40" t="n">
        <f aca="false">(MAX(0,D6-Inputs!$B$23)*IF(C6="Seminole",Inputs!$B$24,IF(C6="Orange",Inputs!$B$25,0)))/12</f>
        <v>374.583333333333</v>
      </c>
      <c r="K6" s="40" t="n">
        <f aca="false">Inputs!$B$26/12</f>
        <v>275</v>
      </c>
      <c r="L6" s="19" t="n">
        <f aca="false">H6+I6+J6+K6+E6</f>
        <v>3133.70345676947</v>
      </c>
      <c r="M6" s="40" t="n">
        <f aca="false">L6-$L$6</f>
        <v>0</v>
      </c>
      <c r="N6" s="17" t="n">
        <f aca="false">F6+SUM(Inputs!$B$27:$B$31)+Inputs!$B$32</f>
        <v>22150</v>
      </c>
      <c r="O6" s="41" t="n">
        <f aca="false">IFERROR(MAX(0,N6-$N$6)/Inputs!$B$33,0)</f>
        <v>0</v>
      </c>
    </row>
    <row r="7" customFormat="false" ht="17.35" hidden="false" customHeight="false" outlineLevel="0" collapsed="false">
      <c r="A7" s="20" t="s">
        <v>203</v>
      </c>
      <c r="B7" s="6" t="s">
        <v>204</v>
      </c>
      <c r="C7" s="6" t="s">
        <v>56</v>
      </c>
      <c r="D7" s="8" t="n">
        <v>335000</v>
      </c>
      <c r="E7" s="8" t="n">
        <v>0</v>
      </c>
      <c r="F7" s="17" t="n">
        <f aca="false">D7*CHOOSE($D$3,Inputs!$B$17,Inputs!$B$20,Inputs!$B$22)</f>
        <v>11725</v>
      </c>
      <c r="G7" s="17" t="n">
        <f aca="false">(D7-F7)*(1+CHOOSE($D$3,Inputs!$B$18,0,0))</f>
        <v>328932.3125</v>
      </c>
      <c r="H7" s="40" t="n">
        <f aca="false">-PMT(Inputs!$B$13/12,Inputs!$B$9*12,G7)</f>
        <v>2160.85113830168</v>
      </c>
      <c r="I7" s="40" t="n">
        <f aca="false">G7*CHOOSE($D$3,Inputs!$B$19,Inputs!$B$21,0)/12</f>
        <v>150.760643229167</v>
      </c>
      <c r="J7" s="40" t="n">
        <f aca="false">(MAX(0,D7-Inputs!$B$23)*IF(C7="Seminole",Inputs!$B$24,IF(C7="Orange",Inputs!$B$25,0)))/12</f>
        <v>344.375</v>
      </c>
      <c r="K7" s="40" t="n">
        <f aca="false">Inputs!$B$26/12</f>
        <v>275</v>
      </c>
      <c r="L7" s="19" t="n">
        <f aca="false">H7+I7+J7+K7+E7</f>
        <v>2930.98678153085</v>
      </c>
      <c r="M7" s="40" t="n">
        <f aca="false">L7-$L$6</f>
        <v>-202.716675238621</v>
      </c>
      <c r="N7" s="17" t="n">
        <f aca="false">F7+SUM(Inputs!$B$27:$B$31)+Inputs!$B$32</f>
        <v>21275</v>
      </c>
      <c r="O7" s="41" t="n">
        <f aca="false">IFERROR(MAX(0,N7-$N$6)/Inputs!$B$33,0)</f>
        <v>0</v>
      </c>
    </row>
    <row r="8" customFormat="false" ht="17.35" hidden="false" customHeight="false" outlineLevel="0" collapsed="false">
      <c r="A8" s="42" t="s">
        <v>205</v>
      </c>
      <c r="B8" s="6" t="s">
        <v>206</v>
      </c>
      <c r="C8" s="6" t="s">
        <v>207</v>
      </c>
      <c r="D8" s="8" t="n">
        <v>485000</v>
      </c>
      <c r="E8" s="8" t="n">
        <v>0</v>
      </c>
      <c r="F8" s="17" t="n">
        <f aca="false">D8*CHOOSE($D$3,Inputs!$B$17,Inputs!$B$20,Inputs!$B$22)</f>
        <v>16975</v>
      </c>
      <c r="G8" s="17" t="n">
        <f aca="false">(D8-F8)*(1+CHOOSE($D$3,Inputs!$B$18,0,0))</f>
        <v>476215.4375</v>
      </c>
      <c r="H8" s="40" t="n">
        <f aca="false">-PMT(Inputs!$B$13/12,Inputs!$B$9*12,G8)</f>
        <v>3128.39642410841</v>
      </c>
      <c r="I8" s="40" t="n">
        <f aca="false">G8*CHOOSE($D$3,Inputs!$B$19,Inputs!$B$21,0)/12</f>
        <v>218.265408854167</v>
      </c>
      <c r="J8" s="40" t="n">
        <f aca="false">(MAX(0,D8-Inputs!$B$23)*IF(C8="Seminole",Inputs!$B$24,IF(C8="Orange",Inputs!$B$25,0)))/12</f>
        <v>489.375</v>
      </c>
      <c r="K8" s="40" t="n">
        <f aca="false">Inputs!$B$26/12</f>
        <v>275</v>
      </c>
      <c r="L8" s="19" t="n">
        <f aca="false">H8+I8+J8+K8+E8</f>
        <v>4111.03683296258</v>
      </c>
      <c r="M8" s="40" t="n">
        <f aca="false">L8-$L$6</f>
        <v>977.333376193104</v>
      </c>
      <c r="N8" s="17" t="n">
        <f aca="false">F8+SUM(Inputs!$B$27:$B$31)+Inputs!$B$32</f>
        <v>26525</v>
      </c>
      <c r="O8" s="41" t="n">
        <f aca="false">IFERROR(MAX(0,N8-$N$6)/Inputs!$B$33,0)</f>
        <v>8.75</v>
      </c>
    </row>
    <row r="9" customFormat="false" ht="17.35" hidden="false" customHeight="false" outlineLevel="0" collapsed="false">
      <c r="A9" s="43" t="s">
        <v>208</v>
      </c>
      <c r="B9" s="6" t="s">
        <v>209</v>
      </c>
      <c r="C9" s="6" t="s">
        <v>56</v>
      </c>
      <c r="D9" s="8" t="n">
        <v>315000</v>
      </c>
      <c r="E9" s="8" t="n">
        <v>0</v>
      </c>
      <c r="F9" s="17" t="n">
        <f aca="false">D9*CHOOSE($D$3,Inputs!$B$17,Inputs!$B$20,Inputs!$B$22)</f>
        <v>11025</v>
      </c>
      <c r="G9" s="17" t="n">
        <f aca="false">(D9-F9)*(1+CHOOSE($D$3,Inputs!$B$18,0,0))</f>
        <v>309294.5625</v>
      </c>
      <c r="H9" s="40" t="n">
        <f aca="false">-PMT(Inputs!$B$13/12,Inputs!$B$9*12,G9)</f>
        <v>2031.84510019412</v>
      </c>
      <c r="I9" s="40" t="n">
        <f aca="false">G9*CHOOSE($D$3,Inputs!$B$19,Inputs!$B$21,0)/12</f>
        <v>141.7600078125</v>
      </c>
      <c r="J9" s="40" t="n">
        <f aca="false">(MAX(0,D9-Inputs!$B$23)*IF(C9="Seminole",Inputs!$B$24,IF(C9="Orange",Inputs!$B$25,0)))/12</f>
        <v>320.208333333333</v>
      </c>
      <c r="K9" s="40" t="n">
        <f aca="false">Inputs!$B$26/12</f>
        <v>275</v>
      </c>
      <c r="L9" s="19" t="n">
        <f aca="false">H9+I9+J9+K9+E9</f>
        <v>2768.81344133995</v>
      </c>
      <c r="M9" s="40" t="n">
        <f aca="false">L9-$L$6</f>
        <v>-364.890015429517</v>
      </c>
      <c r="N9" s="17" t="n">
        <f aca="false">F9+SUM(Inputs!$B$27:$B$31)+Inputs!$B$32</f>
        <v>20575</v>
      </c>
      <c r="O9" s="41" t="n">
        <f aca="false">IFERROR(MAX(0,N9-$N$6)/Inputs!$B$33,0)</f>
        <v>0</v>
      </c>
    </row>
    <row r="10" customFormat="false" ht="15" hidden="false" customHeight="false" outlineLevel="0" collapsed="false">
      <c r="A10" s="44" t="s">
        <v>210</v>
      </c>
      <c r="B10" s="6" t="s">
        <v>211</v>
      </c>
      <c r="C10" s="6"/>
      <c r="D10" s="6"/>
      <c r="E10" s="6"/>
      <c r="F10" s="17" t="str">
        <f aca="false">IF(ISNUMBER(D10),D10*CHOOSE($D$3,Inputs!$B$17,Inputs!$B$20,Inputs!$B$22),"")</f>
        <v/>
      </c>
      <c r="G10" s="17" t="str">
        <f aca="false">IF(ISNUMBER(D10),(D10-F10)*(1+CHOOSE($D$3,Inputs!$B$18,0,0)),"")</f>
        <v/>
      </c>
      <c r="H10" s="40" t="str">
        <f aca="false">IF(ISNUMBER(D10),-PMT(Inputs!$B$13/12,Inputs!$B$9*12,G10),"")</f>
        <v/>
      </c>
      <c r="I10" s="40" t="str">
        <f aca="false">IF(ISNUMBER(D10),G10*CHOOSE($D$3,Inputs!$B$19,Inputs!$B$21,0)/12,"")</f>
        <v/>
      </c>
      <c r="J10" s="40" t="str">
        <f aca="false">IF(ISNUMBER(D10),(MAX(0,D10-Inputs!$B$23)*IF(C10="Seminole",Inputs!$B$24,IF(C10="Orange",Inputs!$B$25,0)))/12,"")</f>
        <v/>
      </c>
      <c r="K10" s="40" t="str">
        <f aca="false">IF(ISNUMBER(D10),Inputs!$B$26/12,"")</f>
        <v/>
      </c>
      <c r="L10" s="40" t="str">
        <f aca="false">IF(ISNUMBER(D10),H10+I10+J10+K10+E10,"")</f>
        <v/>
      </c>
      <c r="M10" s="40" t="str">
        <f aca="false">IF(ISNUMBER(D10),L10-$L$6,"")</f>
        <v/>
      </c>
      <c r="N10" s="17" t="str">
        <f aca="false">IF(ISNUMBER(D10),F10+SUM(Inputs!$B$27:$B$31)+Inputs!$B$32,"")</f>
        <v/>
      </c>
      <c r="O10" s="41" t="str">
        <f aca="false">IF(ISNUMBER(D10),IFERROR(MAX(0,N10-$N$6)/Inputs!$B$33,0),"")</f>
        <v/>
      </c>
    </row>
    <row r="12" customFormat="false" ht="6" hidden="false" customHeight="true" outlineLevel="0" collapsed="false"/>
    <row r="13" customFormat="false" ht="21.75" hidden="false" customHeight="true" outlineLevel="0" collapsed="false">
      <c r="A13" s="10" t="s">
        <v>212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customFormat="false" ht="15" hidden="false" customHeight="true" outlineLevel="0" collapsed="false">
      <c r="A14" s="45" t="s">
        <v>213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</row>
    <row r="15" customFormat="false" ht="36" hidden="false" customHeight="true" outlineLevel="0" collapsed="false">
      <c r="A15" s="46" t="s">
        <v>214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</row>
    <row r="16" customFormat="false" ht="15" hidden="false" customHeight="true" outlineLevel="0" collapsed="false">
      <c r="A16" s="45" t="s">
        <v>215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</row>
    <row r="17" customFormat="false" ht="36" hidden="false" customHeight="true" outlineLevel="0" collapsed="false">
      <c r="A17" s="46" t="s">
        <v>216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</row>
    <row r="18" customFormat="false" ht="15" hidden="false" customHeight="true" outlineLevel="0" collapsed="false">
      <c r="A18" s="45" t="s">
        <v>217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</row>
    <row r="19" customFormat="false" ht="49.5" hidden="false" customHeight="true" outlineLevel="0" collapsed="false">
      <c r="A19" s="46" t="s">
        <v>218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</row>
    <row r="21" customFormat="false" ht="15" hidden="false" customHeight="true" outlineLevel="0" collapsed="false">
      <c r="A21" s="47" t="s">
        <v>219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</row>
  </sheetData>
  <mergeCells count="12">
    <mergeCell ref="A1:F1"/>
    <mergeCell ref="G1:O1"/>
    <mergeCell ref="A3:C3"/>
    <mergeCell ref="E3:O3"/>
    <mergeCell ref="A13:O13"/>
    <mergeCell ref="A14:O14"/>
    <mergeCell ref="A15:O15"/>
    <mergeCell ref="A16:O16"/>
    <mergeCell ref="A17:O17"/>
    <mergeCell ref="A18:O18"/>
    <mergeCell ref="A19:O19"/>
    <mergeCell ref="A21:O21"/>
  </mergeCells>
  <conditionalFormatting sqref="M7">
    <cfRule type="expression" priority="2" aboveAverage="0" equalAverage="0" bottom="0" percent="0" rank="0" text="" dxfId="0">
      <formula>AND(ISNUMBER(M7),M7&gt;500)</formula>
    </cfRule>
    <cfRule type="expression" priority="3" aboveAverage="0" equalAverage="0" bottom="0" percent="0" rank="0" text="" dxfId="1">
      <formula>AND(ISNUMBER(M7),M7&gt;0)</formula>
    </cfRule>
    <cfRule type="expression" priority="4" aboveAverage="0" equalAverage="0" bottom="0" percent="0" rank="0" text="" dxfId="2">
      <formula>AND(ISNUMBER(M7),M7&lt;=0)</formula>
    </cfRule>
  </conditionalFormatting>
  <conditionalFormatting sqref="M8">
    <cfRule type="expression" priority="5" aboveAverage="0" equalAverage="0" bottom="0" percent="0" rank="0" text="" dxfId="0">
      <formula>AND(ISNUMBER(M8),M8&gt;500)</formula>
    </cfRule>
    <cfRule type="expression" priority="6" aboveAverage="0" equalAverage="0" bottom="0" percent="0" rank="0" text="" dxfId="1">
      <formula>AND(ISNUMBER(M8),M8&gt;0)</formula>
    </cfRule>
    <cfRule type="expression" priority="7" aboveAverage="0" equalAverage="0" bottom="0" percent="0" rank="0" text="" dxfId="2">
      <formula>AND(ISNUMBER(M8),M8&lt;=0)</formula>
    </cfRule>
  </conditionalFormatting>
  <conditionalFormatting sqref="M9">
    <cfRule type="expression" priority="8" aboveAverage="0" equalAverage="0" bottom="0" percent="0" rank="0" text="" dxfId="0">
      <formula>AND(ISNUMBER(M9),M9&gt;500)</formula>
    </cfRule>
    <cfRule type="expression" priority="9" aboveAverage="0" equalAverage="0" bottom="0" percent="0" rank="0" text="" dxfId="1">
      <formula>AND(ISNUMBER(M9),M9&gt;0)</formula>
    </cfRule>
    <cfRule type="expression" priority="10" aboveAverage="0" equalAverage="0" bottom="0" percent="0" rank="0" text="" dxfId="2">
      <formula>AND(ISNUMBER(M9),M9&lt;=0)</formula>
    </cfRule>
  </conditionalFormatting>
  <conditionalFormatting sqref="M10">
    <cfRule type="expression" priority="11" aboveAverage="0" equalAverage="0" bottom="0" percent="0" rank="0" text="" dxfId="0">
      <formula>AND(ISNUMBER(M10),M10&gt;500)</formula>
    </cfRule>
    <cfRule type="expression" priority="12" aboveAverage="0" equalAverage="0" bottom="0" percent="0" rank="0" text="" dxfId="1">
      <formula>AND(ISNUMBER(M10),M10&gt;0)</formula>
    </cfRule>
    <cfRule type="expression" priority="13" aboveAverage="0" equalAverage="0" bottom="0" percent="0" rank="0" text="" dxfId="2">
      <formula>AND(ISNUMBER(M10),M10&lt;=0)</formula>
    </cfRule>
  </conditionalFormatting>
  <dataValidations count="1">
    <dataValidation allowBlank="false" errorStyle="stop" operator="between" showDropDown="false" showErrorMessage="false" showInputMessage="false" sqref="D3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2026-05-17T19:32:18Z</dcterms:created>
  <dc:creator>openpyxl</dc:creator>
  <dc:description/>
  <dc:language>en-US</dc:language>
  <cp:lastModifiedBy/>
  <dcterms:modified xsi:type="dcterms:W3CDTF">2026-05-17T19:32:18Z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